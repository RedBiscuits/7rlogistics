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/>
  <mc:AlternateContent xmlns:mc="http://schemas.openxmlformats.org/markup-compatibility/2006">
    <mc:Choice Requires="x15">
      <x15ac:absPath xmlns:x15ac="http://schemas.microsoft.com/office/spreadsheetml/2010/11/ac" url="/Users/yousefelkammar/projects/7rlogistics/storage/"/>
    </mc:Choice>
  </mc:AlternateContent>
  <xr:revisionPtr revIDLastSave="0" documentId="13_ncr:1_{D6BE99DE-B497-2842-83AD-494A2EA45FB1}" xr6:coauthVersionLast="47" xr6:coauthVersionMax="47" xr10:uidLastSave="{00000000-0000-0000-0000-000000000000}"/>
  <bookViews>
    <workbookView xWindow="0" yWindow="760" windowWidth="28800" windowHeight="16100" xr2:uid="{00000000-000D-0000-FFFF-FFFF00000000}"/>
  </bookViews>
  <sheets>
    <sheet name="TCN A4" sheetId="5" r:id="rId1"/>
    <sheet name="DN A4" sheetId="2" r:id="rId2"/>
    <sheet name="MIS A4" sheetId="6" r:id="rId3"/>
    <sheet name="INVOICE A5" sheetId="3" r:id="rId4"/>
    <sheet name="Claim A5 " sheetId="4" r:id="rId5"/>
  </sheets>
  <definedNames>
    <definedName name="_xlnm.Print_Area" localSheetId="1">'DN A4'!$A$1:$I$45</definedName>
    <definedName name="_xlnm.Print_Area" localSheetId="3">'INVOICE A5'!$A$1:$G$31</definedName>
    <definedName name="_xlnm.Print_Area" localSheetId="2">'MIS A4'!$A$1:$H$83</definedName>
    <definedName name="_xlnm.Print_Area" localSheetId="0">'TCN A4'!$A$1:$I$48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6" l="1"/>
  <c r="F68" i="6" s="1"/>
  <c r="D19" i="6"/>
  <c r="D68" i="6" s="1"/>
  <c r="F19" i="2"/>
  <c r="E19" i="2"/>
  <c r="E19" i="6" s="1"/>
  <c r="E68" i="6" s="1"/>
  <c r="D19" i="2"/>
  <c r="B8" i="2"/>
  <c r="D8" i="3" s="1"/>
  <c r="B78" i="6"/>
  <c r="G11" i="2"/>
  <c r="B29" i="6"/>
  <c r="D16" i="6"/>
  <c r="D65" i="6" s="1"/>
  <c r="D15" i="6"/>
  <c r="D64" i="6" s="1"/>
  <c r="D14" i="6"/>
  <c r="D63" i="6" s="1"/>
  <c r="B11" i="6"/>
  <c r="B60" i="6" s="1"/>
  <c r="B8" i="6"/>
  <c r="B55" i="6" s="1"/>
  <c r="B32" i="2"/>
  <c r="D15" i="2"/>
  <c r="D9" i="3"/>
  <c r="D6" i="3"/>
  <c r="D6" i="4" s="1"/>
  <c r="D7" i="3"/>
  <c r="D7" i="4" s="1"/>
  <c r="D14" i="2"/>
  <c r="B39" i="5"/>
  <c r="D16" i="2"/>
  <c r="G39" i="5"/>
  <c r="B11" i="2"/>
  <c r="F17" i="4"/>
  <c r="F18" i="3"/>
  <c r="D78" i="6" l="1"/>
  <c r="D29" i="6"/>
  <c r="D32" i="2"/>
</calcChain>
</file>

<file path=xl/sharedStrings.xml><?xml version="1.0" encoding="utf-8"?>
<sst xmlns="http://schemas.openxmlformats.org/spreadsheetml/2006/main" count="186" uniqueCount="104">
  <si>
    <t>INVOICE</t>
  </si>
  <si>
    <t>NO. 01</t>
  </si>
  <si>
    <t>Company Name</t>
  </si>
  <si>
    <t>:</t>
  </si>
  <si>
    <t>QTY</t>
  </si>
  <si>
    <t>Amount</t>
  </si>
  <si>
    <t>01</t>
  </si>
  <si>
    <t>SUBTOTAL</t>
  </si>
  <si>
    <t>Charlie Jacob</t>
  </si>
  <si>
    <t>201 Blvd, New york 67546</t>
  </si>
  <si>
    <t>Please make payment to</t>
  </si>
  <si>
    <t xml:space="preserve">002 123456789 </t>
  </si>
  <si>
    <t>bankinfo@gmaik.com</t>
  </si>
  <si>
    <t>ThankYou!</t>
  </si>
  <si>
    <t>Delievery Method:</t>
  </si>
  <si>
    <t>Delievery Note</t>
  </si>
  <si>
    <t>Al-Sharqia Governorate, EGYPT</t>
  </si>
  <si>
    <t xml:space="preserve">7R Logistics </t>
  </si>
  <si>
    <t xml:space="preserve">Over night </t>
  </si>
  <si>
    <t xml:space="preserve">Road Toll </t>
  </si>
  <si>
    <t>Transporation</t>
  </si>
  <si>
    <t xml:space="preserve">SERVICE </t>
  </si>
  <si>
    <t>AWB |  B/L</t>
  </si>
  <si>
    <t xml:space="preserve">TCN Number </t>
  </si>
  <si>
    <t xml:space="preserve"> NO. 01</t>
  </si>
  <si>
    <t xml:space="preserve">7R Logistics Al-Sharqia Governorate, EGYPT </t>
  </si>
  <si>
    <t xml:space="preserve">Original </t>
  </si>
  <si>
    <t>مخازن شركة ريوسيرف
مؤسسة الزكاة ، بركة النصر، شارع أبو رجيله ، السلام أول، محافظة القاهرة 
مدير المخزن/ قرني عويس 
تيليفون/ ٠١٠٢٧١٩٨٤١٧</t>
  </si>
  <si>
    <t>Truck Consignment Note</t>
  </si>
  <si>
    <t>Shipper:</t>
  </si>
  <si>
    <t>Receiver:</t>
  </si>
  <si>
    <t>AWB |  B/L:</t>
  </si>
  <si>
    <t>Truck type:</t>
  </si>
  <si>
    <t>Cairo Airport</t>
  </si>
  <si>
    <t>Pickup Location:</t>
  </si>
  <si>
    <t xml:space="preserve">Final Destinantion: </t>
  </si>
  <si>
    <t>Number of Truck:</t>
  </si>
  <si>
    <t>NO. OF PACKAGES</t>
  </si>
  <si>
    <t>Special Instructions:</t>
  </si>
  <si>
    <t>MEASUREMENT</t>
  </si>
  <si>
    <t xml:space="preserve">      DESCRIPTION OF PACKAGES AND GOODS</t>
  </si>
  <si>
    <t xml:space="preserve"> WEIGHT</t>
  </si>
  <si>
    <t>TOTAL WEIGHT</t>
  </si>
  <si>
    <t>KG</t>
  </si>
  <si>
    <t xml:space="preserve">مؤسسة الزكاة </t>
  </si>
  <si>
    <t>Dababah Open</t>
  </si>
  <si>
    <t>Elite Global Logistics Ltd.</t>
  </si>
  <si>
    <t>Notes:</t>
  </si>
  <si>
    <t>01101167717</t>
  </si>
  <si>
    <t xml:space="preserve">7R's Logistics </t>
  </si>
  <si>
    <t>السائق:</t>
  </si>
  <si>
    <t xml:space="preserve">كود السائق: </t>
  </si>
  <si>
    <t xml:space="preserve"># </t>
  </si>
  <si>
    <t>وصف البضاعة</t>
  </si>
  <si>
    <t xml:space="preserve">الوزن </t>
  </si>
  <si>
    <t xml:space="preserve">العدد </t>
  </si>
  <si>
    <t xml:space="preserve">عدد الطرود الإجمالي: </t>
  </si>
  <si>
    <t>الوزن الإجمالي:</t>
  </si>
  <si>
    <t>رقم المركبة:</t>
  </si>
  <si>
    <t>إسم المستلم:</t>
  </si>
  <si>
    <t>التوقيع:</t>
  </si>
  <si>
    <t>ملاحظات:</t>
  </si>
  <si>
    <t xml:space="preserve">تاريخ اليوم: </t>
  </si>
  <si>
    <t>TAX ID: 554-962-179</t>
  </si>
  <si>
    <t xml:space="preserve">Delivery Mission </t>
  </si>
  <si>
    <t>جهة التسليم:</t>
  </si>
  <si>
    <t>جهة الإستلام:</t>
  </si>
  <si>
    <t xml:space="preserve">أن أكون ملازم للمركبة طوال الرحلة و عدم ترك المركبة بدون مراقبه من خلالي. </t>
  </si>
  <si>
    <t>كما اقر بأن التزم بلمحافظة علي البضاعة و التأكد من سلامة التحميل و التربيط علي المركبة.</t>
  </si>
  <si>
    <t xml:space="preserve"> أكون مسئول مسؤولية كاملة عن عدم التسليم او أي عجز او تلف أثناء التسليم.</t>
  </si>
  <si>
    <t>اتباع الإرشادات و التعليمات المرورية.</t>
  </si>
  <si>
    <t xml:space="preserve">إيصال امانة </t>
  </si>
  <si>
    <t>اقر انا السائق......................................   بطاقة رقم قومي رقم..............................................  بصفتي الموكل بعملية النقل بلتالي :</t>
  </si>
  <si>
    <t>التأكد من سلامة المركبة و صلاحيتها للقيام بعملية النقل و من صلاحية رخصة المركبة و رخصة القيادة .</t>
  </si>
  <si>
    <t>بأن البضاعة الموضحة بعالية بصفة امانة لتسليمها الي الجهة التسليم الموضحة بعالية خلال ٢٤ ساعة من تاريخ التحميل و في حال عدم تسليمها أكون مبددا و خائنا للامانه و اتحمل المسئووليه الجنائية.</t>
  </si>
  <si>
    <t xml:space="preserve">المقر بما فيه الاسم/ </t>
  </si>
  <si>
    <t>التوقيع/</t>
  </si>
  <si>
    <t>رقم البطاقة/</t>
  </si>
  <si>
    <t xml:space="preserve">مطار القاهرة قرية البضائع </t>
  </si>
  <si>
    <t>Bank Misr</t>
  </si>
  <si>
    <t xml:space="preserve">DN Number </t>
  </si>
  <si>
    <t xml:space="preserve">Shipment Date: </t>
  </si>
  <si>
    <t>Deriver Name</t>
  </si>
  <si>
    <t xml:space="preserve">Truck Number Plate: </t>
  </si>
  <si>
    <t>Driver Code:</t>
  </si>
  <si>
    <t>إسماعيل يوسف سيد</t>
  </si>
  <si>
    <t>ا م ر    ٤١٦٧</t>
  </si>
  <si>
    <t>DOC#01</t>
  </si>
  <si>
    <t xml:space="preserve">7R's Logistics not responsibil for Loading / offloading 
7R's Logistics is not responsible for commodity type
7R's Logistics don't examine the commodity  
Lodging period is 1 hour from arriving time 
Offloading period is 1 hour from arriving time 
</t>
  </si>
  <si>
    <t xml:space="preserve">   من:</t>
  </si>
  <si>
    <t xml:space="preserve">   إلي:</t>
  </si>
  <si>
    <t>Driver Copy</t>
  </si>
  <si>
    <t xml:space="preserve">الرجاء الحفاظ علي هذا الايصال و المراجعة بيه مع الحسابات لتحصيل النولون </t>
  </si>
  <si>
    <t>TOTAL OF PACKAGES</t>
  </si>
  <si>
    <t>60 x 40 x 30 CM</t>
  </si>
  <si>
    <t xml:space="preserve">         مهمة توصيل</t>
  </si>
  <si>
    <t>الأبعاد</t>
  </si>
  <si>
    <t>1 Box of Mechanical Seals</t>
  </si>
  <si>
    <t>Subject to -3% WHT</t>
  </si>
  <si>
    <t xml:space="preserve">                                    إيصال استلام       </t>
  </si>
  <si>
    <t># 002</t>
  </si>
  <si>
    <t xml:space="preserve">                    مهمة توصيل</t>
  </si>
  <si>
    <t xml:space="preserve">     بوليصة نقل بري </t>
  </si>
  <si>
    <r>
      <t xml:space="preserve">Claim 
</t>
    </r>
    <r>
      <rPr>
        <sz val="12"/>
        <color theme="1"/>
        <rFont val="Trade Gothic Next Heavy"/>
      </rPr>
      <t>For Reimbursements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</si>
</sst>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mmmm\ d\,\ yyyy;@"/>
    <numFmt numFmtId="165" formatCode="_([$EGP]\ * #,##0.00_);_([$EGP]\ * \(#,##0.00\);_([$EGP]\ * &quot;-&quot;??_);_(@_)"/>
    <numFmt numFmtId="166" formatCode="[$-2000401]0"/>
    <numFmt numFmtId="167" formatCode="[$-409]d\-mmm\-yyyy;@"/>
    <numFmt numFmtId="168" formatCode="[$-409]dd\-mmm\-yy;@"/>
  </numFmts>
  <fonts count="4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8"/>
      <color theme="1"/>
      <name val="Trade Gothic Next Heavy"/>
      <family val="2"/>
    </font>
    <font>
      <sz val="11"/>
      <color theme="1"/>
      <name val="Times New Roman"/>
      <family val="1"/>
    </font>
    <font>
      <sz val="11"/>
      <color rgb="FFC81A08"/>
      <name val="Trade Gothic Next Heavy"/>
      <family val="2"/>
    </font>
    <font>
      <b/>
      <sz val="10"/>
      <color theme="1"/>
      <name val="Calibri"/>
      <family val="2"/>
      <scheme val="minor"/>
    </font>
    <font>
      <b/>
      <sz val="11"/>
      <color rgb="FFC81A0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E63630"/>
      <name val="Trade Gothic Next Heavy"/>
      <family val="2"/>
    </font>
    <font>
      <sz val="14"/>
      <color rgb="FFE63630"/>
      <name val="Trade Gothic Next Heavy"/>
    </font>
    <font>
      <sz val="11"/>
      <color rgb="FFE63630"/>
      <name val="Trade Gothic Next Heavy"/>
    </font>
    <font>
      <b/>
      <sz val="14"/>
      <color theme="1"/>
      <name val="Calibri"/>
      <family val="2"/>
      <scheme val="minor"/>
    </font>
    <font>
      <b/>
      <sz val="30"/>
      <color theme="1"/>
      <name val="Trade Gothic Next Heavy"/>
      <family val="2"/>
    </font>
    <font>
      <b/>
      <sz val="10"/>
      <color theme="1"/>
      <name val="Trade Gothic Next"/>
    </font>
    <font>
      <sz val="14"/>
      <color theme="1"/>
      <name val="Trade Gothic Next"/>
    </font>
    <font>
      <b/>
      <sz val="14"/>
      <color theme="1"/>
      <name val="Trade Gothic Next"/>
    </font>
    <font>
      <sz val="16"/>
      <color theme="1"/>
      <name val="Trade Gothic Next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6"/>
      <color theme="1"/>
      <name val="Trade Gothic Next"/>
    </font>
    <font>
      <sz val="11"/>
      <color theme="1"/>
      <name val="Trade Gothic Next"/>
    </font>
    <font>
      <b/>
      <sz val="11"/>
      <color theme="1"/>
      <name val="Trade Gothic Next"/>
    </font>
    <font>
      <sz val="11"/>
      <color rgb="FFC81A08"/>
      <name val="Trade Gothic Next"/>
    </font>
    <font>
      <sz val="14"/>
      <color theme="0"/>
      <name val="Trade Gothic Next"/>
    </font>
    <font>
      <u/>
      <sz val="11"/>
      <color theme="10"/>
      <name val="Trade Gothic Next"/>
    </font>
    <font>
      <sz val="11"/>
      <color rgb="FFE63630"/>
      <name val="Trade Gothic Next"/>
    </font>
    <font>
      <b/>
      <sz val="28"/>
      <color theme="1"/>
      <name val="Trade Gothic Next"/>
    </font>
    <font>
      <sz val="18"/>
      <color theme="1"/>
      <name val="Trade Gothic Next"/>
    </font>
    <font>
      <sz val="9"/>
      <color theme="1"/>
      <name val="Trade Gothic Next"/>
    </font>
    <font>
      <u/>
      <sz val="14"/>
      <color theme="1"/>
      <name val="Trade Gothic Next"/>
    </font>
    <font>
      <sz val="14"/>
      <color rgb="FF000000"/>
      <name val="Trade Gothic Next"/>
    </font>
    <font>
      <sz val="30"/>
      <color theme="1"/>
      <name val="Trade Gothic Next"/>
    </font>
    <font>
      <b/>
      <sz val="30"/>
      <color theme="1"/>
      <name val="Trade Gothic Next Heavy"/>
    </font>
    <font>
      <b/>
      <sz val="14"/>
      <color theme="1"/>
      <name val="Trade Gothic Next Heavy"/>
    </font>
    <font>
      <sz val="11"/>
      <color theme="1"/>
      <name val="Trade Gothic Next Heavy"/>
    </font>
    <font>
      <b/>
      <sz val="11"/>
      <color theme="1"/>
      <name val="Trade Gothic Next Heavy"/>
    </font>
    <font>
      <b/>
      <sz val="11"/>
      <color rgb="FFE63630"/>
      <name val="Trade Gothic Next Heavy"/>
    </font>
    <font>
      <b/>
      <sz val="14"/>
      <color rgb="FFE63630"/>
      <name val="Trade Gothic Next Heavy"/>
    </font>
    <font>
      <b/>
      <sz val="12"/>
      <color rgb="FFE63630"/>
      <name val="Trade Gothic Next Heavy"/>
    </font>
    <font>
      <b/>
      <sz val="14"/>
      <color theme="1"/>
      <name val="Trade Gothic Next Bold"/>
    </font>
    <font>
      <sz val="12"/>
      <color theme="1"/>
      <name val="Trade Gothic Next Heavy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63630"/>
        <bgColor indexed="64"/>
      </patternFill>
    </fill>
    <fill>
      <patternFill patternType="solid">
        <fgColor rgb="FFFFFFFF"/>
        <bgColor rgb="FF000000"/>
      </patternFill>
    </fill>
  </fills>
  <borders count="7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hair">
        <color indexed="64"/>
      </bottom>
      <diagonal/>
    </border>
    <border>
      <left/>
      <right style="medium">
        <color indexed="64"/>
      </right>
      <top style="dotted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dotted">
        <color indexed="64"/>
      </bottom>
      <diagonal/>
    </border>
    <border>
      <left/>
      <right style="medium">
        <color indexed="64"/>
      </right>
      <top style="hair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ashDot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0" fontId="18" fillId="0" borderId="0"/>
  </cellStyleXfs>
  <cellXfs count="26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5" fillId="2" borderId="0" xfId="0" applyFont="1" applyFill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/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left" vertical="center"/>
    </xf>
    <xf numFmtId="165" fontId="1" fillId="2" borderId="0" xfId="0" applyNumberFormat="1" applyFont="1" applyFill="1" applyAlignment="1">
      <alignment vertical="center"/>
    </xf>
    <xf numFmtId="0" fontId="0" fillId="2" borderId="1" xfId="0" applyFill="1" applyBorder="1"/>
    <xf numFmtId="0" fontId="1" fillId="2" borderId="1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left"/>
    </xf>
    <xf numFmtId="165" fontId="7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4" fontId="4" fillId="2" borderId="0" xfId="0" applyNumberFormat="1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49" fontId="6" fillId="2" borderId="0" xfId="0" applyNumberFormat="1" applyFont="1" applyFill="1" applyAlignment="1">
      <alignment horizontal="left" vertical="center"/>
    </xf>
    <xf numFmtId="49" fontId="1" fillId="2" borderId="0" xfId="0" applyNumberFormat="1" applyFont="1" applyFill="1" applyAlignment="1">
      <alignment vertical="center"/>
    </xf>
    <xf numFmtId="49" fontId="1" fillId="2" borderId="0" xfId="0" applyNumberFormat="1" applyFont="1" applyFill="1"/>
    <xf numFmtId="0" fontId="12" fillId="2" borderId="0" xfId="0" applyFont="1" applyFill="1" applyAlignment="1">
      <alignment horizontal="right"/>
    </xf>
    <xf numFmtId="49" fontId="14" fillId="2" borderId="0" xfId="0" applyNumberFormat="1" applyFont="1" applyFill="1" applyAlignment="1">
      <alignment horizontal="left" vertical="center"/>
    </xf>
    <xf numFmtId="0" fontId="19" fillId="0" borderId="0" xfId="0" applyFont="1"/>
    <xf numFmtId="0" fontId="16" fillId="2" borderId="5" xfId="0" applyFont="1" applyFill="1" applyBorder="1" applyAlignment="1">
      <alignment horizontal="center" vertical="center"/>
    </xf>
    <xf numFmtId="0" fontId="20" fillId="2" borderId="50" xfId="0" applyFont="1" applyFill="1" applyBorder="1" applyAlignment="1">
      <alignment horizontal="center" vertical="center"/>
    </xf>
    <xf numFmtId="0" fontId="21" fillId="2" borderId="0" xfId="0" applyFont="1" applyFill="1"/>
    <xf numFmtId="0" fontId="22" fillId="2" borderId="0" xfId="0" applyFont="1" applyFill="1" applyAlignment="1">
      <alignment horizontal="left" vertical="center"/>
    </xf>
    <xf numFmtId="168" fontId="21" fillId="2" borderId="0" xfId="0" applyNumberFormat="1" applyFont="1" applyFill="1" applyAlignment="1">
      <alignment horizontal="center" vertical="center"/>
    </xf>
    <xf numFmtId="164" fontId="21" fillId="2" borderId="0" xfId="0" applyNumberFormat="1" applyFont="1" applyFill="1" applyAlignment="1">
      <alignment vertical="center"/>
    </xf>
    <xf numFmtId="0" fontId="15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0" fontId="23" fillId="2" borderId="0" xfId="0" applyFont="1" applyFill="1" applyAlignment="1">
      <alignment horizontal="left"/>
    </xf>
    <xf numFmtId="0" fontId="21" fillId="2" borderId="1" xfId="0" applyFont="1" applyFill="1" applyBorder="1"/>
    <xf numFmtId="0" fontId="21" fillId="2" borderId="6" xfId="0" applyFont="1" applyFill="1" applyBorder="1"/>
    <xf numFmtId="0" fontId="21" fillId="2" borderId="63" xfId="0" applyFont="1" applyFill="1" applyBorder="1"/>
    <xf numFmtId="0" fontId="24" fillId="3" borderId="62" xfId="0" applyFont="1" applyFill="1" applyBorder="1" applyAlignment="1">
      <alignment horizontal="right" vertical="center"/>
    </xf>
    <xf numFmtId="0" fontId="21" fillId="2" borderId="44" xfId="0" applyFont="1" applyFill="1" applyBorder="1"/>
    <xf numFmtId="0" fontId="21" fillId="2" borderId="67" xfId="0" applyFont="1" applyFill="1" applyBorder="1"/>
    <xf numFmtId="0" fontId="17" fillId="2" borderId="0" xfId="0" applyFont="1" applyFill="1"/>
    <xf numFmtId="0" fontId="24" fillId="3" borderId="7" xfId="0" applyFont="1" applyFill="1" applyBorder="1" applyAlignment="1">
      <alignment horizontal="right" vertical="center"/>
    </xf>
    <xf numFmtId="0" fontId="24" fillId="3" borderId="7" xfId="0" applyFont="1" applyFill="1" applyBorder="1" applyAlignment="1">
      <alignment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center" vertical="center"/>
    </xf>
    <xf numFmtId="0" fontId="15" fillId="2" borderId="11" xfId="0" applyFont="1" applyFill="1" applyBorder="1"/>
    <xf numFmtId="0" fontId="20" fillId="2" borderId="37" xfId="0" applyFont="1" applyFill="1" applyBorder="1" applyAlignment="1">
      <alignment horizontal="center" vertical="center"/>
    </xf>
    <xf numFmtId="0" fontId="20" fillId="2" borderId="69" xfId="0" applyFont="1" applyFill="1" applyBorder="1" applyAlignment="1">
      <alignment horizontal="center" vertical="center"/>
    </xf>
    <xf numFmtId="0" fontId="17" fillId="2" borderId="16" xfId="0" applyFont="1" applyFill="1" applyBorder="1" applyAlignment="1">
      <alignment horizontal="center" vertical="center"/>
    </xf>
    <xf numFmtId="0" fontId="15" fillId="2" borderId="0" xfId="0" applyFont="1" applyFill="1"/>
    <xf numFmtId="0" fontId="17" fillId="2" borderId="17" xfId="0" applyFont="1" applyFill="1" applyBorder="1"/>
    <xf numFmtId="0" fontId="17" fillId="2" borderId="13" xfId="0" applyFont="1" applyFill="1" applyBorder="1"/>
    <xf numFmtId="0" fontId="17" fillId="2" borderId="15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17" fillId="2" borderId="12" xfId="0" applyFont="1" applyFill="1" applyBorder="1"/>
    <xf numFmtId="0" fontId="17" fillId="2" borderId="11" xfId="0" applyFont="1" applyFill="1" applyBorder="1"/>
    <xf numFmtId="0" fontId="17" fillId="2" borderId="9" xfId="0" applyFont="1" applyFill="1" applyBorder="1"/>
    <xf numFmtId="0" fontId="17" fillId="2" borderId="15" xfId="0" applyFont="1" applyFill="1" applyBorder="1"/>
    <xf numFmtId="0" fontId="17" fillId="2" borderId="70" xfId="0" applyFont="1" applyFill="1" applyBorder="1"/>
    <xf numFmtId="0" fontId="17" fillId="2" borderId="57" xfId="0" applyFont="1" applyFill="1" applyBorder="1"/>
    <xf numFmtId="0" fontId="17" fillId="2" borderId="58" xfId="0" applyFont="1" applyFill="1" applyBorder="1"/>
    <xf numFmtId="0" fontId="17" fillId="2" borderId="19" xfId="0" applyFont="1" applyFill="1" applyBorder="1"/>
    <xf numFmtId="0" fontId="24" fillId="3" borderId="20" xfId="0" applyFont="1" applyFill="1" applyBorder="1" applyAlignment="1">
      <alignment vertical="center"/>
    </xf>
    <xf numFmtId="0" fontId="21" fillId="2" borderId="51" xfId="0" applyFont="1" applyFill="1" applyBorder="1"/>
    <xf numFmtId="0" fontId="16" fillId="2" borderId="59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/>
    </xf>
    <xf numFmtId="0" fontId="22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horizontal="right" vertical="top" wrapText="1"/>
    </xf>
    <xf numFmtId="166" fontId="17" fillId="2" borderId="0" xfId="0" applyNumberFormat="1" applyFont="1" applyFill="1" applyAlignment="1">
      <alignment horizontal="center" vertical="center"/>
    </xf>
    <xf numFmtId="166" fontId="17" fillId="2" borderId="0" xfId="0" applyNumberFormat="1" applyFont="1" applyFill="1" applyAlignment="1">
      <alignment horizontal="center"/>
    </xf>
    <xf numFmtId="0" fontId="17" fillId="2" borderId="0" xfId="0" applyFont="1" applyFill="1" applyAlignment="1">
      <alignment horizontal="right" vertical="top"/>
    </xf>
    <xf numFmtId="0" fontId="17" fillId="2" borderId="1" xfId="0" applyFont="1" applyFill="1" applyBorder="1" applyAlignment="1">
      <alignment vertical="top" wrapText="1"/>
    </xf>
    <xf numFmtId="49" fontId="22" fillId="2" borderId="0" xfId="0" applyNumberFormat="1" applyFont="1" applyFill="1" applyAlignment="1">
      <alignment horizontal="left" vertical="center"/>
    </xf>
    <xf numFmtId="0" fontId="25" fillId="2" borderId="0" xfId="1" applyFont="1" applyFill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right" vertical="center"/>
    </xf>
    <xf numFmtId="0" fontId="14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vertical="center"/>
    </xf>
    <xf numFmtId="0" fontId="26" fillId="2" borderId="0" xfId="0" applyFont="1" applyFill="1" applyAlignment="1">
      <alignment horizontal="left"/>
    </xf>
    <xf numFmtId="0" fontId="17" fillId="2" borderId="0" xfId="0" applyFont="1" applyFill="1" applyAlignment="1">
      <alignment horizontal="right"/>
    </xf>
    <xf numFmtId="0" fontId="15" fillId="2" borderId="0" xfId="0" applyFont="1" applyFill="1" applyAlignment="1">
      <alignment vertical="center"/>
    </xf>
    <xf numFmtId="0" fontId="29" fillId="2" borderId="0" xfId="0" applyFont="1" applyFill="1"/>
    <xf numFmtId="0" fontId="16" fillId="2" borderId="50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21" fillId="2" borderId="11" xfId="0" applyFont="1" applyFill="1" applyBorder="1"/>
    <xf numFmtId="0" fontId="17" fillId="2" borderId="16" xfId="0" applyFont="1" applyFill="1" applyBorder="1"/>
    <xf numFmtId="0" fontId="21" fillId="2" borderId="71" xfId="0" applyFont="1" applyFill="1" applyBorder="1"/>
    <xf numFmtId="0" fontId="20" fillId="2" borderId="59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left" vertical="center"/>
    </xf>
    <xf numFmtId="0" fontId="21" fillId="2" borderId="0" xfId="0" applyFont="1" applyFill="1" applyAlignment="1">
      <alignment horizontal="center"/>
    </xf>
    <xf numFmtId="0" fontId="20" fillId="2" borderId="16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right"/>
    </xf>
    <xf numFmtId="0" fontId="15" fillId="2" borderId="6" xfId="0" applyFont="1" applyFill="1" applyBorder="1"/>
    <xf numFmtId="0" fontId="21" fillId="2" borderId="8" xfId="0" applyFont="1" applyFill="1" applyBorder="1"/>
    <xf numFmtId="0" fontId="17" fillId="2" borderId="18" xfId="0" applyFont="1" applyFill="1" applyBorder="1"/>
    <xf numFmtId="0" fontId="15" fillId="2" borderId="6" xfId="0" applyFont="1" applyFill="1" applyBorder="1" applyAlignment="1">
      <alignment horizontal="center"/>
    </xf>
    <xf numFmtId="0" fontId="30" fillId="2" borderId="63" xfId="0" applyFont="1" applyFill="1" applyBorder="1"/>
    <xf numFmtId="0" fontId="15" fillId="2" borderId="29" xfId="0" applyFont="1" applyFill="1" applyBorder="1" applyAlignment="1">
      <alignment horizontal="center"/>
    </xf>
    <xf numFmtId="0" fontId="15" fillId="2" borderId="64" xfId="0" applyFont="1" applyFill="1" applyBorder="1"/>
    <xf numFmtId="0" fontId="31" fillId="4" borderId="0" xfId="0" applyFont="1" applyFill="1" applyAlignment="1">
      <alignment horizontal="center"/>
    </xf>
    <xf numFmtId="0" fontId="16" fillId="2" borderId="6" xfId="0" applyFont="1" applyFill="1" applyBorder="1" applyAlignment="1">
      <alignment vertical="center"/>
    </xf>
    <xf numFmtId="0" fontId="15" fillId="2" borderId="6" xfId="0" applyFont="1" applyFill="1" applyBorder="1" applyAlignment="1">
      <alignment vertical="center"/>
    </xf>
    <xf numFmtId="0" fontId="21" fillId="2" borderId="60" xfId="0" applyFont="1" applyFill="1" applyBorder="1"/>
    <xf numFmtId="0" fontId="21" fillId="2" borderId="29" xfId="0" applyFont="1" applyFill="1" applyBorder="1"/>
    <xf numFmtId="0" fontId="21" fillId="2" borderId="61" xfId="0" applyFont="1" applyFill="1" applyBorder="1"/>
    <xf numFmtId="0" fontId="21" fillId="2" borderId="45" xfId="0" applyFont="1" applyFill="1" applyBorder="1"/>
    <xf numFmtId="0" fontId="21" fillId="2" borderId="43" xfId="0" applyFont="1" applyFill="1" applyBorder="1"/>
    <xf numFmtId="0" fontId="21" fillId="2" borderId="46" xfId="0" applyFont="1" applyFill="1" applyBorder="1"/>
    <xf numFmtId="0" fontId="24" fillId="3" borderId="62" xfId="0" applyFont="1" applyFill="1" applyBorder="1" applyAlignment="1">
      <alignment vertical="center"/>
    </xf>
    <xf numFmtId="0" fontId="26" fillId="2" borderId="0" xfId="0" applyFont="1" applyFill="1"/>
    <xf numFmtId="49" fontId="26" fillId="2" borderId="0" xfId="0" applyNumberFormat="1" applyFont="1" applyFill="1" applyAlignment="1">
      <alignment horizontal="left"/>
    </xf>
    <xf numFmtId="0" fontId="21" fillId="2" borderId="0" xfId="0" applyFont="1" applyFill="1" applyAlignment="1">
      <alignment horizontal="left" vertical="top"/>
    </xf>
    <xf numFmtId="167" fontId="21" fillId="2" borderId="0" xfId="0" applyNumberFormat="1" applyFont="1" applyFill="1" applyAlignment="1">
      <alignment horizontal="center"/>
    </xf>
    <xf numFmtId="0" fontId="21" fillId="2" borderId="0" xfId="0" applyFont="1" applyFill="1" applyAlignment="1">
      <alignment horizontal="right" vertical="top"/>
    </xf>
    <xf numFmtId="0" fontId="22" fillId="2" borderId="0" xfId="0" applyFont="1" applyFill="1" applyAlignment="1">
      <alignment horizontal="right"/>
    </xf>
    <xf numFmtId="0" fontId="21" fillId="2" borderId="0" xfId="0" applyFont="1" applyFill="1" applyAlignment="1">
      <alignment wrapText="1"/>
    </xf>
    <xf numFmtId="0" fontId="22" fillId="2" borderId="0" xfId="0" applyFont="1" applyFill="1" applyAlignment="1">
      <alignment horizontal="center" wrapText="1"/>
    </xf>
    <xf numFmtId="0" fontId="21" fillId="2" borderId="0" xfId="0" applyFont="1" applyFill="1" applyAlignment="1">
      <alignment horizontal="right" vertical="top" wrapText="1"/>
    </xf>
    <xf numFmtId="0" fontId="21" fillId="2" borderId="27" xfId="0" applyFont="1" applyFill="1" applyBorder="1"/>
    <xf numFmtId="0" fontId="16" fillId="2" borderId="25" xfId="0" applyFont="1" applyFill="1" applyBorder="1"/>
    <xf numFmtId="0" fontId="16" fillId="2" borderId="31" xfId="0" applyFont="1" applyFill="1" applyBorder="1"/>
    <xf numFmtId="0" fontId="16" fillId="2" borderId="23" xfId="0" applyFont="1" applyFill="1" applyBorder="1"/>
    <xf numFmtId="0" fontId="16" fillId="2" borderId="40" xfId="0" applyFont="1" applyFill="1" applyBorder="1"/>
    <xf numFmtId="0" fontId="16" fillId="2" borderId="41" xfId="0" applyFont="1" applyFill="1" applyBorder="1"/>
    <xf numFmtId="0" fontId="21" fillId="2" borderId="40" xfId="0" applyFont="1" applyFill="1" applyBorder="1"/>
    <xf numFmtId="0" fontId="21" fillId="2" borderId="41" xfId="0" applyFont="1" applyFill="1" applyBorder="1"/>
    <xf numFmtId="0" fontId="21" fillId="2" borderId="23" xfId="0" applyFont="1" applyFill="1" applyBorder="1"/>
    <xf numFmtId="0" fontId="21" fillId="2" borderId="25" xfId="0" applyFont="1" applyFill="1" applyBorder="1"/>
    <xf numFmtId="0" fontId="21" fillId="2" borderId="31" xfId="0" applyFont="1" applyFill="1" applyBorder="1"/>
    <xf numFmtId="0" fontId="21" fillId="2" borderId="42" xfId="0" applyFont="1" applyFill="1" applyBorder="1"/>
    <xf numFmtId="0" fontId="21" fillId="2" borderId="35" xfId="0" applyFont="1" applyFill="1" applyBorder="1"/>
    <xf numFmtId="0" fontId="21" fillId="2" borderId="32" xfId="0" applyFont="1" applyFill="1" applyBorder="1"/>
    <xf numFmtId="0" fontId="21" fillId="2" borderId="33" xfId="0" applyFont="1" applyFill="1" applyBorder="1"/>
    <xf numFmtId="0" fontId="21" fillId="2" borderId="34" xfId="0" applyFont="1" applyFill="1" applyBorder="1"/>
    <xf numFmtId="0" fontId="21" fillId="2" borderId="0" xfId="0" applyFont="1" applyFill="1" applyAlignment="1">
      <alignment vertical="center" wrapText="1"/>
    </xf>
    <xf numFmtId="0" fontId="21" fillId="2" borderId="0" xfId="0" applyFont="1" applyFill="1" applyAlignment="1">
      <alignment vertical="center"/>
    </xf>
    <xf numFmtId="0" fontId="15" fillId="2" borderId="0" xfId="0" applyFont="1" applyFill="1" applyAlignment="1">
      <alignment vertical="center" wrapText="1"/>
    </xf>
    <xf numFmtId="2" fontId="16" fillId="2" borderId="23" xfId="0" applyNumberFormat="1" applyFont="1" applyFill="1" applyBorder="1" applyAlignment="1">
      <alignment horizontal="center" vertical="top"/>
    </xf>
    <xf numFmtId="0" fontId="16" fillId="2" borderId="0" xfId="0" applyFont="1" applyFill="1" applyAlignment="1">
      <alignment vertical="center"/>
    </xf>
    <xf numFmtId="2" fontId="22" fillId="2" borderId="0" xfId="0" applyNumberFormat="1" applyFont="1" applyFill="1" applyAlignment="1">
      <alignment horizontal="center" vertical="top"/>
    </xf>
    <xf numFmtId="0" fontId="22" fillId="2" borderId="0" xfId="0" applyFont="1" applyFill="1" applyAlignment="1">
      <alignment vertical="center"/>
    </xf>
    <xf numFmtId="0" fontId="22" fillId="2" borderId="8" xfId="0" applyFont="1" applyFill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33" fillId="2" borderId="0" xfId="0" applyFont="1" applyFill="1" applyAlignment="1">
      <alignment vertical="center"/>
    </xf>
    <xf numFmtId="0" fontId="32" fillId="2" borderId="0" xfId="0" applyFont="1" applyFill="1"/>
    <xf numFmtId="0" fontId="24" fillId="3" borderId="2" xfId="0" applyFont="1" applyFill="1" applyBorder="1" applyAlignment="1">
      <alignment vertical="center"/>
    </xf>
    <xf numFmtId="0" fontId="24" fillId="3" borderId="28" xfId="0" applyFont="1" applyFill="1" applyBorder="1" applyAlignment="1">
      <alignment horizontal="center" vertical="center"/>
    </xf>
    <xf numFmtId="0" fontId="24" fillId="3" borderId="66" xfId="0" applyFont="1" applyFill="1" applyBorder="1" applyAlignment="1">
      <alignment horizontal="center" vertical="center"/>
    </xf>
    <xf numFmtId="0" fontId="20" fillId="2" borderId="25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/>
    </xf>
    <xf numFmtId="0" fontId="20" fillId="2" borderId="25" xfId="0" applyFont="1" applyFill="1" applyBorder="1"/>
    <xf numFmtId="0" fontId="11" fillId="2" borderId="0" xfId="0" applyFont="1" applyFill="1" applyAlignment="1">
      <alignment horizontal="right" vertical="center"/>
    </xf>
    <xf numFmtId="0" fontId="13" fillId="2" borderId="0" xfId="0" applyFont="1" applyFill="1" applyAlignment="1">
      <alignment horizontal="left" vertical="center"/>
    </xf>
    <xf numFmtId="0" fontId="35" fillId="2" borderId="0" xfId="0" applyFont="1" applyFill="1"/>
    <xf numFmtId="0" fontId="34" fillId="2" borderId="0" xfId="0" applyFont="1" applyFill="1" applyAlignment="1">
      <alignment horizontal="center" vertical="center"/>
    </xf>
    <xf numFmtId="164" fontId="35" fillId="2" borderId="0" xfId="0" applyNumberFormat="1" applyFont="1" applyFill="1" applyAlignment="1">
      <alignment vertical="center"/>
    </xf>
    <xf numFmtId="0" fontId="10" fillId="2" borderId="0" xfId="0" applyFont="1" applyFill="1" applyAlignment="1">
      <alignment horizontal="left"/>
    </xf>
    <xf numFmtId="0" fontId="36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37" fillId="2" borderId="0" xfId="0" applyFont="1" applyFill="1" applyAlignment="1">
      <alignment horizontal="right" vertical="center"/>
    </xf>
    <xf numFmtId="0" fontId="38" fillId="2" borderId="0" xfId="0" applyFont="1" applyFill="1" applyAlignment="1">
      <alignment horizontal="left"/>
    </xf>
    <xf numFmtId="0" fontId="39" fillId="2" borderId="0" xfId="0" applyFont="1" applyFill="1" applyAlignment="1">
      <alignment horizontal="left"/>
    </xf>
    <xf numFmtId="0" fontId="15" fillId="2" borderId="8" xfId="0" applyFont="1" applyFill="1" applyBorder="1" applyAlignment="1">
      <alignment horizontal="center"/>
    </xf>
    <xf numFmtId="0" fontId="40" fillId="2" borderId="0" xfId="0" applyFont="1" applyFill="1" applyAlignment="1">
      <alignment horizontal="center" vertical="center"/>
    </xf>
    <xf numFmtId="1" fontId="16" fillId="2" borderId="0" xfId="0" applyNumberFormat="1" applyFont="1" applyFill="1" applyAlignment="1">
      <alignment horizontal="center"/>
    </xf>
    <xf numFmtId="2" fontId="16" fillId="2" borderId="0" xfId="0" applyNumberFormat="1" applyFont="1" applyFill="1" applyAlignment="1">
      <alignment horizontal="center" vertical="top"/>
    </xf>
    <xf numFmtId="0" fontId="21" fillId="2" borderId="0" xfId="0" applyFont="1" applyFill="1" applyAlignment="1">
      <alignment horizontal="left" vertical="top" wrapText="1"/>
    </xf>
    <xf numFmtId="0" fontId="33" fillId="2" borderId="0" xfId="0" applyFont="1" applyFill="1" applyAlignment="1">
      <alignment horizontal="left" vertical="center" wrapText="1"/>
    </xf>
    <xf numFmtId="0" fontId="20" fillId="2" borderId="40" xfId="0" applyFont="1" applyFill="1" applyBorder="1" applyAlignment="1">
      <alignment horizontal="center"/>
    </xf>
    <xf numFmtId="0" fontId="20" fillId="2" borderId="41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left" vertical="top" wrapText="1"/>
    </xf>
    <xf numFmtId="0" fontId="21" fillId="2" borderId="4" xfId="0" applyFont="1" applyFill="1" applyBorder="1" applyAlignment="1">
      <alignment horizontal="left" vertical="top" wrapText="1"/>
    </xf>
    <xf numFmtId="0" fontId="21" fillId="2" borderId="5" xfId="0" applyFont="1" applyFill="1" applyBorder="1" applyAlignment="1">
      <alignment horizontal="left" vertical="top" wrapText="1"/>
    </xf>
    <xf numFmtId="0" fontId="16" fillId="2" borderId="4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40" xfId="0" applyFont="1" applyFill="1" applyBorder="1" applyAlignment="1">
      <alignment horizontal="center"/>
    </xf>
    <xf numFmtId="0" fontId="16" fillId="2" borderId="41" xfId="0" applyFont="1" applyFill="1" applyBorder="1" applyAlignment="1">
      <alignment horizontal="center"/>
    </xf>
    <xf numFmtId="0" fontId="24" fillId="3" borderId="20" xfId="0" applyFont="1" applyFill="1" applyBorder="1" applyAlignment="1">
      <alignment horizontal="center" vertical="center"/>
    </xf>
    <xf numFmtId="0" fontId="24" fillId="3" borderId="22" xfId="0" applyFont="1" applyFill="1" applyBorder="1" applyAlignment="1">
      <alignment horizontal="center" vertical="center"/>
    </xf>
    <xf numFmtId="0" fontId="24" fillId="3" borderId="30" xfId="0" applyFont="1" applyFill="1" applyBorder="1" applyAlignment="1">
      <alignment horizontal="center" vertical="center"/>
    </xf>
    <xf numFmtId="0" fontId="20" fillId="2" borderId="36" xfId="0" applyFont="1" applyFill="1" applyBorder="1" applyAlignment="1">
      <alignment horizontal="center"/>
    </xf>
    <xf numFmtId="0" fontId="20" fillId="2" borderId="26" xfId="0" applyFont="1" applyFill="1" applyBorder="1" applyAlignment="1">
      <alignment horizontal="center"/>
    </xf>
    <xf numFmtId="1" fontId="16" fillId="2" borderId="23" xfId="0" applyNumberFormat="1" applyFont="1" applyFill="1" applyBorder="1" applyAlignment="1">
      <alignment horizontal="center"/>
    </xf>
    <xf numFmtId="0" fontId="20" fillId="2" borderId="72" xfId="0" applyFont="1" applyFill="1" applyBorder="1" applyAlignment="1">
      <alignment horizontal="center"/>
    </xf>
    <xf numFmtId="0" fontId="20" fillId="2" borderId="73" xfId="0" applyFont="1" applyFill="1" applyBorder="1" applyAlignment="1">
      <alignment horizontal="center"/>
    </xf>
    <xf numFmtId="0" fontId="20" fillId="2" borderId="47" xfId="0" applyFont="1" applyFill="1" applyBorder="1" applyAlignment="1">
      <alignment horizontal="center"/>
    </xf>
    <xf numFmtId="0" fontId="20" fillId="2" borderId="48" xfId="0" applyFont="1" applyFill="1" applyBorder="1" applyAlignment="1">
      <alignment horizontal="center"/>
    </xf>
    <xf numFmtId="0" fontId="16" fillId="2" borderId="49" xfId="0" applyFont="1" applyFill="1" applyBorder="1" applyAlignment="1">
      <alignment horizontal="center"/>
    </xf>
    <xf numFmtId="0" fontId="16" fillId="2" borderId="23" xfId="0" applyFont="1" applyFill="1" applyBorder="1" applyAlignment="1">
      <alignment horizontal="center"/>
    </xf>
    <xf numFmtId="0" fontId="16" fillId="2" borderId="24" xfId="0" applyFont="1" applyFill="1" applyBorder="1" applyAlignment="1">
      <alignment horizontal="center"/>
    </xf>
    <xf numFmtId="0" fontId="24" fillId="3" borderId="21" xfId="0" applyFont="1" applyFill="1" applyBorder="1" applyAlignment="1">
      <alignment horizontal="center" vertical="center"/>
    </xf>
    <xf numFmtId="0" fontId="16" fillId="2" borderId="43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24" fillId="3" borderId="20" xfId="0" applyFont="1" applyFill="1" applyBorder="1" applyAlignment="1">
      <alignment horizontal="left" vertical="top"/>
    </xf>
    <xf numFmtId="0" fontId="24" fillId="3" borderId="21" xfId="0" applyFont="1" applyFill="1" applyBorder="1" applyAlignment="1">
      <alignment horizontal="left" vertical="top"/>
    </xf>
    <xf numFmtId="0" fontId="21" fillId="2" borderId="4" xfId="0" applyFont="1" applyFill="1" applyBorder="1" applyAlignment="1">
      <alignment horizontal="center"/>
    </xf>
    <xf numFmtId="0" fontId="21" fillId="2" borderId="5" xfId="0" applyFont="1" applyFill="1" applyBorder="1" applyAlignment="1">
      <alignment horizontal="center"/>
    </xf>
    <xf numFmtId="0" fontId="24" fillId="3" borderId="20" xfId="0" applyFont="1" applyFill="1" applyBorder="1" applyAlignment="1">
      <alignment vertical="center"/>
    </xf>
    <xf numFmtId="0" fontId="24" fillId="3" borderId="21" xfId="0" applyFont="1" applyFill="1" applyBorder="1" applyAlignment="1">
      <alignment vertical="center"/>
    </xf>
    <xf numFmtId="14" fontId="16" fillId="2" borderId="4" xfId="0" applyNumberFormat="1" applyFont="1" applyFill="1" applyBorder="1" applyAlignment="1">
      <alignment horizontal="center" vertical="center"/>
    </xf>
    <xf numFmtId="0" fontId="16" fillId="2" borderId="60" xfId="0" applyFont="1" applyFill="1" applyBorder="1" applyAlignment="1">
      <alignment horizontal="right" vertical="top" wrapText="1"/>
    </xf>
    <xf numFmtId="0" fontId="16" fillId="2" borderId="29" xfId="0" applyFont="1" applyFill="1" applyBorder="1" applyAlignment="1">
      <alignment horizontal="right" vertical="top" wrapText="1"/>
    </xf>
    <xf numFmtId="0" fontId="16" fillId="2" borderId="65" xfId="0" applyFont="1" applyFill="1" applyBorder="1" applyAlignment="1">
      <alignment horizontal="right" vertical="top" wrapText="1"/>
    </xf>
    <xf numFmtId="0" fontId="16" fillId="2" borderId="45" xfId="0" applyFont="1" applyFill="1" applyBorder="1" applyAlignment="1">
      <alignment horizontal="right" vertical="top" wrapText="1"/>
    </xf>
    <xf numFmtId="0" fontId="16" fillId="2" borderId="0" xfId="0" applyFont="1" applyFill="1" applyAlignment="1">
      <alignment horizontal="right" vertical="top" wrapText="1"/>
    </xf>
    <xf numFmtId="0" fontId="16" fillId="2" borderId="44" xfId="0" applyFont="1" applyFill="1" applyBorder="1" applyAlignment="1">
      <alignment horizontal="right" vertical="top" wrapText="1"/>
    </xf>
    <xf numFmtId="0" fontId="16" fillId="2" borderId="43" xfId="0" applyFont="1" applyFill="1" applyBorder="1" applyAlignment="1">
      <alignment horizontal="right" vertical="top" wrapText="1"/>
    </xf>
    <xf numFmtId="0" fontId="16" fillId="2" borderId="6" xfId="0" applyFont="1" applyFill="1" applyBorder="1" applyAlignment="1">
      <alignment horizontal="right" vertical="top" wrapText="1"/>
    </xf>
    <xf numFmtId="0" fontId="16" fillId="2" borderId="46" xfId="0" applyFont="1" applyFill="1" applyBorder="1" applyAlignment="1">
      <alignment horizontal="right" vertical="top" wrapText="1"/>
    </xf>
    <xf numFmtId="0" fontId="17" fillId="2" borderId="9" xfId="0" applyFont="1" applyFill="1" applyBorder="1" applyAlignment="1">
      <alignment horizontal="center"/>
    </xf>
    <xf numFmtId="0" fontId="17" fillId="2" borderId="12" xfId="0" applyFont="1" applyFill="1" applyBorder="1" applyAlignment="1">
      <alignment horizontal="center"/>
    </xf>
    <xf numFmtId="0" fontId="16" fillId="2" borderId="0" xfId="0" applyFont="1" applyFill="1" applyAlignment="1">
      <alignment horizontal="right"/>
    </xf>
    <xf numFmtId="0" fontId="16" fillId="2" borderId="3" xfId="0" applyFont="1" applyFill="1" applyBorder="1" applyAlignment="1">
      <alignment horizontal="center" vertical="center"/>
    </xf>
    <xf numFmtId="0" fontId="20" fillId="2" borderId="37" xfId="0" applyFont="1" applyFill="1" applyBorder="1" applyAlignment="1">
      <alignment horizontal="center"/>
    </xf>
    <xf numFmtId="0" fontId="20" fillId="2" borderId="39" xfId="0" applyFont="1" applyFill="1" applyBorder="1" applyAlignment="1">
      <alignment horizontal="center"/>
    </xf>
    <xf numFmtId="0" fontId="16" fillId="2" borderId="6" xfId="0" applyFont="1" applyFill="1" applyBorder="1" applyAlignment="1">
      <alignment vertical="top" wrapText="1"/>
    </xf>
    <xf numFmtId="0" fontId="16" fillId="2" borderId="46" xfId="0" applyFont="1" applyFill="1" applyBorder="1" applyAlignment="1">
      <alignment vertical="top" wrapText="1"/>
    </xf>
    <xf numFmtId="0" fontId="16" fillId="2" borderId="68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right" vertical="center"/>
    </xf>
    <xf numFmtId="0" fontId="24" fillId="3" borderId="21" xfId="0" applyFont="1" applyFill="1" applyBorder="1" applyAlignment="1">
      <alignment horizontal="right" vertical="center"/>
    </xf>
    <xf numFmtId="0" fontId="17" fillId="2" borderId="57" xfId="0" applyFont="1" applyFill="1" applyBorder="1" applyAlignment="1">
      <alignment horizontal="center"/>
    </xf>
    <xf numFmtId="0" fontId="17" fillId="2" borderId="58" xfId="0" applyFont="1" applyFill="1" applyBorder="1" applyAlignment="1">
      <alignment horizontal="center"/>
    </xf>
    <xf numFmtId="0" fontId="24" fillId="3" borderId="20" xfId="0" applyFont="1" applyFill="1" applyBorder="1" applyAlignment="1">
      <alignment horizontal="left" vertical="center"/>
    </xf>
    <xf numFmtId="0" fontId="24" fillId="3" borderId="21" xfId="0" applyFont="1" applyFill="1" applyBorder="1" applyAlignment="1">
      <alignment horizontal="left" vertical="center"/>
    </xf>
    <xf numFmtId="0" fontId="17" fillId="2" borderId="53" xfId="0" applyFont="1" applyFill="1" applyBorder="1" applyAlignment="1">
      <alignment horizontal="center"/>
    </xf>
    <xf numFmtId="0" fontId="17" fillId="2" borderId="54" xfId="0" applyFont="1" applyFill="1" applyBorder="1" applyAlignment="1">
      <alignment horizontal="center"/>
    </xf>
    <xf numFmtId="0" fontId="17" fillId="2" borderId="55" xfId="0" applyFont="1" applyFill="1" applyBorder="1" applyAlignment="1">
      <alignment horizontal="center"/>
    </xf>
    <xf numFmtId="0" fontId="17" fillId="2" borderId="56" xfId="0" applyFont="1" applyFill="1" applyBorder="1" applyAlignment="1">
      <alignment horizontal="center"/>
    </xf>
    <xf numFmtId="0" fontId="16" fillId="2" borderId="38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/>
    </xf>
    <xf numFmtId="0" fontId="20" fillId="2" borderId="38" xfId="0" applyFont="1" applyFill="1" applyBorder="1" applyAlignment="1">
      <alignment horizontal="center"/>
    </xf>
    <xf numFmtId="0" fontId="16" fillId="2" borderId="2" xfId="0" applyFont="1" applyFill="1" applyBorder="1" applyAlignment="1">
      <alignment horizontal="center" vertical="center"/>
    </xf>
    <xf numFmtId="0" fontId="24" fillId="3" borderId="51" xfId="0" applyFont="1" applyFill="1" applyBorder="1" applyAlignment="1">
      <alignment horizontal="center" vertical="center"/>
    </xf>
    <xf numFmtId="0" fontId="24" fillId="3" borderId="52" xfId="0" applyFont="1" applyFill="1" applyBorder="1" applyAlignment="1">
      <alignment horizontal="center" vertical="center"/>
    </xf>
    <xf numFmtId="0" fontId="20" fillId="2" borderId="37" xfId="0" applyFont="1" applyFill="1" applyBorder="1" applyAlignment="1">
      <alignment horizontal="center" vertical="center"/>
    </xf>
    <xf numFmtId="0" fontId="20" fillId="2" borderId="39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/>
    </xf>
    <xf numFmtId="0" fontId="17" fillId="2" borderId="11" xfId="0" applyFont="1" applyFill="1" applyBorder="1" applyAlignment="1">
      <alignment horizontal="center"/>
    </xf>
    <xf numFmtId="0" fontId="17" fillId="2" borderId="10" xfId="0" applyFont="1" applyFill="1" applyBorder="1" applyAlignment="1">
      <alignment horizontal="center"/>
    </xf>
    <xf numFmtId="0" fontId="17" fillId="2" borderId="14" xfId="0" applyFont="1" applyFill="1" applyBorder="1" applyAlignment="1">
      <alignment horizontal="center"/>
    </xf>
    <xf numFmtId="0" fontId="17" fillId="2" borderId="0" xfId="0" applyFont="1" applyFill="1" applyAlignment="1">
      <alignment horizontal="right" vertical="top" wrapText="1"/>
    </xf>
    <xf numFmtId="0" fontId="16" fillId="2" borderId="38" xfId="0" applyFont="1" applyFill="1" applyBorder="1" applyAlignment="1">
      <alignment horizontal="center"/>
    </xf>
    <xf numFmtId="0" fontId="28" fillId="2" borderId="20" xfId="0" applyFont="1" applyFill="1" applyBorder="1" applyAlignment="1">
      <alignment horizontal="center" vertical="center"/>
    </xf>
    <xf numFmtId="0" fontId="28" fillId="2" borderId="22" xfId="0" applyFont="1" applyFill="1" applyBorder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/>
    </xf>
    <xf numFmtId="0" fontId="20" fillId="2" borderId="2" xfId="0" applyFont="1" applyFill="1" applyBorder="1" applyAlignment="1">
      <alignment horizontal="center"/>
    </xf>
    <xf numFmtId="0" fontId="20" fillId="2" borderId="5" xfId="0" applyFont="1" applyFill="1" applyBorder="1" applyAlignment="1">
      <alignment horizontal="center"/>
    </xf>
    <xf numFmtId="0" fontId="17" fillId="2" borderId="0" xfId="0" applyFont="1" applyFill="1" applyAlignment="1">
      <alignment horizontal="right" wrapText="1"/>
    </xf>
    <xf numFmtId="0" fontId="17" fillId="2" borderId="37" xfId="0" applyFont="1" applyFill="1" applyBorder="1" applyAlignment="1">
      <alignment horizontal="center"/>
    </xf>
    <xf numFmtId="0" fontId="17" fillId="2" borderId="39" xfId="0" applyFont="1" applyFill="1" applyBorder="1" applyAlignment="1">
      <alignment horizontal="center"/>
    </xf>
    <xf numFmtId="164" fontId="1" fillId="2" borderId="0" xfId="0" applyNumberFormat="1" applyFont="1" applyFill="1" applyAlignment="1">
      <alignment horizontal="left"/>
    </xf>
  </cellXfs>
  <cellStyles count="3">
    <cellStyle name="Hyperlink" xfId="1" builtinId="8"/>
    <cellStyle name="Normal" xfId="0" builtinId="0"/>
    <cellStyle name="Normal 2" xfId="2" xr:uid="{E266171E-E102-9140-8793-F3D458AECD5B}"/>
  </cellStyles>
  <dxfs count="0"/>
  <tableStyles count="0" defaultTableStyle="TableStyleMedium2" defaultPivotStyle="PivotStyleLight16"/>
  <colors>
    <mruColors>
      <color rgb="FFE63630"/>
      <color rgb="FF941100"/>
      <color rgb="FFC81A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1147516</xdr:colOff>
      <xdr:row>3</xdr:row>
      <xdr:rowOff>99343</xdr:rowOff>
    </xdr:from>
    <xdr:ext cx="2947248" cy="1916646"/>
    <xdr:pic>
      <xdr:nvPicPr>
        <xdr:cNvPr id="2" name="Picture 1">
          <a:extLst>
            <a:ext uri="{FF2B5EF4-FFF2-40B4-BE49-F238E27FC236}">
              <a16:creationId xmlns:a16="http://schemas.microsoft.com/office/drawing/2014/main" id="{AA6E2415-EDA2-BA4B-A602-CF39963686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652" r="6006" b="17818"/>
        <a:stretch/>
      </xdr:blipFill>
      <xdr:spPr>
        <a:xfrm>
          <a:off x="5380849" y="960121"/>
          <a:ext cx="2947248" cy="191664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88900</xdr:colOff>
      <xdr:row>0</xdr:row>
      <xdr:rowOff>20320</xdr:rowOff>
    </xdr:from>
    <xdr:ext cx="1727200" cy="1099244"/>
    <xdr:pic>
      <xdr:nvPicPr>
        <xdr:cNvPr id="2" name="Picture 1">
          <a:extLst>
            <a:ext uri="{FF2B5EF4-FFF2-40B4-BE49-F238E27FC236}">
              <a16:creationId xmlns:a16="http://schemas.microsoft.com/office/drawing/2014/main" id="{C34F7F3E-7E27-0645-8A7F-A45F738075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652" r="6006" b="17818"/>
        <a:stretch/>
      </xdr:blipFill>
      <xdr:spPr>
        <a:xfrm>
          <a:off x="266700" y="20320"/>
          <a:ext cx="1727200" cy="109924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76200</xdr:colOff>
      <xdr:row>0</xdr:row>
      <xdr:rowOff>0</xdr:rowOff>
    </xdr:from>
    <xdr:ext cx="1727200" cy="1099244"/>
    <xdr:pic>
      <xdr:nvPicPr>
        <xdr:cNvPr id="2" name="Picture 1">
          <a:extLst>
            <a:ext uri="{FF2B5EF4-FFF2-40B4-BE49-F238E27FC236}">
              <a16:creationId xmlns:a16="http://schemas.microsoft.com/office/drawing/2014/main" id="{E7735CA6-3459-3F48-826B-B0BEF11C4E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652" r="6006" b="17818"/>
        <a:stretch/>
      </xdr:blipFill>
      <xdr:spPr>
        <a:xfrm>
          <a:off x="254446" y="0"/>
          <a:ext cx="1727200" cy="109924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50</xdr:row>
      <xdr:rowOff>0</xdr:rowOff>
    </xdr:from>
    <xdr:ext cx="1727200" cy="1099244"/>
    <xdr:pic>
      <xdr:nvPicPr>
        <xdr:cNvPr id="6" name="Picture 5">
          <a:extLst>
            <a:ext uri="{FF2B5EF4-FFF2-40B4-BE49-F238E27FC236}">
              <a16:creationId xmlns:a16="http://schemas.microsoft.com/office/drawing/2014/main" id="{DDD3A13B-76CC-9341-9FAD-41AE3A8EEC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652" r="6006" b="17818"/>
        <a:stretch/>
      </xdr:blipFill>
      <xdr:spPr>
        <a:xfrm>
          <a:off x="178246" y="14449035"/>
          <a:ext cx="1727200" cy="1099244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2437</xdr:colOff>
      <xdr:row>0</xdr:row>
      <xdr:rowOff>84292</xdr:rowOff>
    </xdr:from>
    <xdr:ext cx="1339741" cy="1009767"/>
    <xdr:pic>
      <xdr:nvPicPr>
        <xdr:cNvPr id="2" name="Picture 1">
          <a:extLst>
            <a:ext uri="{FF2B5EF4-FFF2-40B4-BE49-F238E27FC236}">
              <a16:creationId xmlns:a16="http://schemas.microsoft.com/office/drawing/2014/main" id="{4F3FECD1-60EF-934E-A120-6C8CC9FEF6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652" r="6006" b="17818"/>
        <a:stretch/>
      </xdr:blipFill>
      <xdr:spPr>
        <a:xfrm>
          <a:off x="295514" y="84292"/>
          <a:ext cx="1339741" cy="100976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2437</xdr:colOff>
      <xdr:row>0</xdr:row>
      <xdr:rowOff>84292</xdr:rowOff>
    </xdr:from>
    <xdr:ext cx="1339741" cy="1009767"/>
    <xdr:pic>
      <xdr:nvPicPr>
        <xdr:cNvPr id="2" name="Picture 1">
          <a:extLst>
            <a:ext uri="{FF2B5EF4-FFF2-40B4-BE49-F238E27FC236}">
              <a16:creationId xmlns:a16="http://schemas.microsoft.com/office/drawing/2014/main" id="{3AD9CDED-E3C4-6548-B559-A1CA5B009A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652" r="6006" b="17818"/>
        <a:stretch/>
      </xdr:blipFill>
      <xdr:spPr>
        <a:xfrm>
          <a:off x="294537" y="84292"/>
          <a:ext cx="1339741" cy="10097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bankinfo@gmai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4C6A6-6D0A-CF4C-819F-82911E88DF04}">
  <sheetPr>
    <pageSetUpPr fitToPage="1"/>
  </sheetPr>
  <dimension ref="A2:L53"/>
  <sheetViews>
    <sheetView tabSelected="1" view="pageBreakPreview" topLeftCell="A34" zoomScale="90" zoomScaleNormal="125" workbookViewId="0">
      <selection activeCell="B10" sqref="B10:D13"/>
    </sheetView>
  </sheetViews>
  <sheetFormatPr baseColWidth="10" defaultColWidth="9.1640625" defaultRowHeight="14" x14ac:dyDescent="0.2"/>
  <cols>
    <col min="1" max="1" width="1.83203125" style="36" customWidth="1"/>
    <col min="2" max="2" width="11.6640625" style="36" customWidth="1"/>
    <col min="3" max="3" width="14.83203125" style="36" customWidth="1"/>
    <col min="4" max="4" width="21" style="36" customWidth="1"/>
    <col min="5" max="5" width="6.33203125" style="36" customWidth="1"/>
    <col min="6" max="6" width="29.33203125" style="36" customWidth="1"/>
    <col min="7" max="7" width="19" style="36" bestFit="1" customWidth="1"/>
    <col min="8" max="8" width="22.33203125" style="36" customWidth="1"/>
    <col min="9" max="9" width="1.33203125" style="36" customWidth="1"/>
    <col min="10" max="16384" width="9.1640625" style="36"/>
  </cols>
  <sheetData>
    <row r="2" spans="1:12" ht="39" x14ac:dyDescent="0.45">
      <c r="B2" s="155" t="s">
        <v>28</v>
      </c>
      <c r="C2" s="156"/>
      <c r="D2" s="156"/>
      <c r="E2" s="156"/>
      <c r="H2" s="166" t="s">
        <v>26</v>
      </c>
    </row>
    <row r="3" spans="1:12" ht="18" x14ac:dyDescent="0.25">
      <c r="A3" s="121"/>
      <c r="B3" s="168" t="s">
        <v>100</v>
      </c>
      <c r="C3" s="122"/>
      <c r="D3" s="123"/>
      <c r="E3" s="175" t="s">
        <v>102</v>
      </c>
      <c r="H3" s="124">
        <v>45434</v>
      </c>
    </row>
    <row r="4" spans="1:12" x14ac:dyDescent="0.2">
      <c r="D4" s="90"/>
      <c r="F4" s="125"/>
      <c r="G4" s="125"/>
    </row>
    <row r="5" spans="1:12" ht="16" customHeight="1" thickBot="1" x14ac:dyDescent="0.25"/>
    <row r="6" spans="1:12" ht="29" customHeight="1" thickBot="1" x14ac:dyDescent="0.25">
      <c r="B6" s="51" t="s">
        <v>29</v>
      </c>
      <c r="H6" s="126"/>
      <c r="J6" s="89"/>
    </row>
    <row r="7" spans="1:12" ht="78" customHeight="1" x14ac:dyDescent="0.2">
      <c r="B7" s="203" t="s">
        <v>46</v>
      </c>
      <c r="C7" s="204"/>
      <c r="D7" s="205"/>
      <c r="L7" s="127"/>
    </row>
    <row r="8" spans="1:12" ht="15" thickBot="1" x14ac:dyDescent="0.25">
      <c r="B8" s="90"/>
    </row>
    <row r="9" spans="1:12" ht="29" customHeight="1" x14ac:dyDescent="0.2">
      <c r="B9" s="120" t="s">
        <v>30</v>
      </c>
      <c r="J9" s="89"/>
    </row>
    <row r="10" spans="1:12" ht="30" customHeight="1" x14ac:dyDescent="0.2">
      <c r="B10" s="213" t="s">
        <v>27</v>
      </c>
      <c r="C10" s="214"/>
      <c r="D10" s="215"/>
      <c r="F10" s="157" t="s">
        <v>82</v>
      </c>
      <c r="G10" s="185" t="s">
        <v>85</v>
      </c>
      <c r="H10" s="186"/>
      <c r="L10" s="127"/>
    </row>
    <row r="11" spans="1:12" ht="30" customHeight="1" x14ac:dyDescent="0.2">
      <c r="B11" s="216"/>
      <c r="C11" s="217"/>
      <c r="D11" s="218"/>
      <c r="F11" s="157" t="s">
        <v>83</v>
      </c>
      <c r="G11" s="185" t="s">
        <v>86</v>
      </c>
      <c r="H11" s="186"/>
      <c r="L11" s="127"/>
    </row>
    <row r="12" spans="1:12" ht="30" customHeight="1" x14ac:dyDescent="0.2">
      <c r="B12" s="216"/>
      <c r="C12" s="217"/>
      <c r="D12" s="218"/>
      <c r="F12" s="157" t="s">
        <v>84</v>
      </c>
      <c r="G12" s="185" t="s">
        <v>87</v>
      </c>
      <c r="H12" s="186"/>
      <c r="L12" s="127"/>
    </row>
    <row r="13" spans="1:12" ht="30" customHeight="1" x14ac:dyDescent="0.2">
      <c r="B13" s="219"/>
      <c r="C13" s="220"/>
      <c r="D13" s="221"/>
      <c r="H13" s="76"/>
      <c r="L13" s="127"/>
    </row>
    <row r="14" spans="1:12" x14ac:dyDescent="0.2">
      <c r="B14" s="128"/>
      <c r="C14" s="128"/>
      <c r="H14" s="76"/>
      <c r="L14" s="127"/>
    </row>
    <row r="15" spans="1:12" x14ac:dyDescent="0.2">
      <c r="B15" s="128"/>
      <c r="C15" s="128"/>
      <c r="D15" s="128"/>
      <c r="H15" s="76"/>
      <c r="L15" s="127"/>
    </row>
    <row r="16" spans="1:12" ht="10" customHeight="1" thickBot="1" x14ac:dyDescent="0.25">
      <c r="B16" s="129"/>
      <c r="C16" s="128"/>
      <c r="D16" s="125"/>
      <c r="H16" s="126"/>
    </row>
    <row r="17" spans="1:8" ht="30" customHeight="1" thickBot="1" x14ac:dyDescent="0.25">
      <c r="B17" s="210" t="s">
        <v>31</v>
      </c>
      <c r="C17" s="211"/>
      <c r="D17" s="34">
        <v>35518340874</v>
      </c>
      <c r="F17" s="51" t="s">
        <v>34</v>
      </c>
      <c r="G17" s="185" t="s">
        <v>33</v>
      </c>
      <c r="H17" s="186"/>
    </row>
    <row r="18" spans="1:8" ht="30" customHeight="1" thickBot="1" x14ac:dyDescent="0.25">
      <c r="B18" s="210" t="s">
        <v>32</v>
      </c>
      <c r="C18" s="211"/>
      <c r="D18" s="34" t="s">
        <v>45</v>
      </c>
      <c r="E18" s="117"/>
      <c r="F18" s="51" t="s">
        <v>35</v>
      </c>
      <c r="G18" s="185" t="s">
        <v>44</v>
      </c>
      <c r="H18" s="186"/>
    </row>
    <row r="19" spans="1:8" ht="30" customHeight="1" thickBot="1" x14ac:dyDescent="0.25">
      <c r="B19" s="210" t="s">
        <v>36</v>
      </c>
      <c r="C19" s="211"/>
      <c r="D19" s="34">
        <v>1</v>
      </c>
      <c r="F19" s="51" t="s">
        <v>81</v>
      </c>
      <c r="G19" s="212">
        <v>45432</v>
      </c>
      <c r="H19" s="186"/>
    </row>
    <row r="20" spans="1:8" ht="11.25" customHeight="1" thickBot="1" x14ac:dyDescent="0.25"/>
    <row r="21" spans="1:8" ht="47" customHeight="1" thickBot="1" x14ac:dyDescent="0.25">
      <c r="B21" s="206" t="s">
        <v>38</v>
      </c>
      <c r="C21" s="207"/>
      <c r="D21" s="208"/>
      <c r="E21" s="208"/>
      <c r="F21" s="208"/>
      <c r="G21" s="208"/>
      <c r="H21" s="209"/>
    </row>
    <row r="22" spans="1:8" ht="15" thickBot="1" x14ac:dyDescent="0.25">
      <c r="B22" s="43"/>
      <c r="C22" s="43"/>
      <c r="D22" s="115"/>
      <c r="H22" s="130"/>
    </row>
    <row r="23" spans="1:8" ht="30" customHeight="1" thickBot="1" x14ac:dyDescent="0.25">
      <c r="A23" s="96"/>
      <c r="B23" s="189" t="s">
        <v>37</v>
      </c>
      <c r="C23" s="202"/>
      <c r="D23" s="189" t="s">
        <v>40</v>
      </c>
      <c r="E23" s="190"/>
      <c r="F23" s="191"/>
      <c r="G23" s="158" t="s">
        <v>41</v>
      </c>
      <c r="H23" s="159" t="s">
        <v>39</v>
      </c>
    </row>
    <row r="24" spans="1:8" s="58" customFormat="1" ht="20" customHeight="1" x14ac:dyDescent="0.25">
      <c r="A24" s="54"/>
      <c r="B24" s="192">
        <v>1</v>
      </c>
      <c r="C24" s="193"/>
      <c r="D24" s="195" t="s">
        <v>97</v>
      </c>
      <c r="E24" s="196"/>
      <c r="F24" s="193"/>
      <c r="G24" s="160">
        <v>18</v>
      </c>
      <c r="H24" s="161" t="s">
        <v>94</v>
      </c>
    </row>
    <row r="25" spans="1:8" ht="20" customHeight="1" x14ac:dyDescent="0.25">
      <c r="A25" s="96"/>
      <c r="B25" s="180"/>
      <c r="C25" s="181"/>
      <c r="D25" s="197"/>
      <c r="E25" s="198"/>
      <c r="F25" s="181"/>
      <c r="G25" s="162"/>
      <c r="H25" s="161"/>
    </row>
    <row r="26" spans="1:8" ht="20" customHeight="1" x14ac:dyDescent="0.25">
      <c r="A26" s="96"/>
      <c r="B26" s="187"/>
      <c r="C26" s="188"/>
      <c r="D26" s="199"/>
      <c r="E26" s="200"/>
      <c r="F26" s="201"/>
      <c r="G26" s="131"/>
      <c r="H26" s="132"/>
    </row>
    <row r="27" spans="1:8" ht="20" customHeight="1" x14ac:dyDescent="0.25">
      <c r="A27" s="96"/>
      <c r="B27" s="187"/>
      <c r="C27" s="188"/>
      <c r="D27" s="133"/>
      <c r="E27" s="133"/>
      <c r="F27" s="133"/>
      <c r="G27" s="131"/>
      <c r="H27" s="132"/>
    </row>
    <row r="28" spans="1:8" ht="20" customHeight="1" x14ac:dyDescent="0.25">
      <c r="A28" s="96"/>
      <c r="B28" s="187"/>
      <c r="C28" s="188"/>
      <c r="D28" s="133"/>
      <c r="E28" s="133"/>
      <c r="F28" s="133"/>
      <c r="G28" s="131"/>
      <c r="H28" s="132"/>
    </row>
    <row r="29" spans="1:8" ht="20" customHeight="1" x14ac:dyDescent="0.25">
      <c r="A29" s="96"/>
      <c r="B29" s="134"/>
      <c r="C29" s="135"/>
      <c r="D29" s="133"/>
      <c r="E29" s="133"/>
      <c r="F29" s="133"/>
      <c r="G29" s="131"/>
      <c r="H29" s="132"/>
    </row>
    <row r="30" spans="1:8" ht="20" customHeight="1" x14ac:dyDescent="0.25">
      <c r="A30" s="96"/>
      <c r="B30" s="134"/>
      <c r="C30" s="135"/>
      <c r="D30" s="133"/>
      <c r="E30" s="133"/>
      <c r="F30" s="133"/>
      <c r="G30" s="131"/>
      <c r="H30" s="132"/>
    </row>
    <row r="31" spans="1:8" ht="20" customHeight="1" x14ac:dyDescent="0.2">
      <c r="A31" s="96"/>
      <c r="B31" s="136"/>
      <c r="C31" s="137"/>
      <c r="D31" s="138"/>
      <c r="E31" s="138"/>
      <c r="F31" s="138"/>
      <c r="G31" s="139"/>
      <c r="H31" s="140"/>
    </row>
    <row r="32" spans="1:8" ht="20" customHeight="1" x14ac:dyDescent="0.2">
      <c r="A32" s="96"/>
      <c r="B32" s="136"/>
      <c r="C32" s="137"/>
      <c r="D32" s="138"/>
      <c r="E32" s="138"/>
      <c r="F32" s="138"/>
      <c r="G32" s="139"/>
      <c r="H32" s="140"/>
    </row>
    <row r="33" spans="1:9" ht="20" customHeight="1" x14ac:dyDescent="0.2">
      <c r="A33" s="96"/>
      <c r="B33" s="136"/>
      <c r="C33" s="137"/>
      <c r="D33" s="138"/>
      <c r="E33" s="138"/>
      <c r="F33" s="138"/>
      <c r="G33" s="139"/>
      <c r="H33" s="140"/>
    </row>
    <row r="34" spans="1:9" ht="20" customHeight="1" x14ac:dyDescent="0.2">
      <c r="A34" s="96"/>
      <c r="B34" s="136"/>
      <c r="C34" s="137"/>
      <c r="D34" s="138"/>
      <c r="E34" s="138"/>
      <c r="F34" s="138"/>
      <c r="G34" s="139"/>
      <c r="H34" s="140"/>
    </row>
    <row r="35" spans="1:9" ht="20" customHeight="1" x14ac:dyDescent="0.2">
      <c r="A35" s="96"/>
      <c r="B35" s="136"/>
      <c r="C35" s="137"/>
      <c r="D35" s="138"/>
      <c r="E35" s="138"/>
      <c r="F35" s="138"/>
      <c r="G35" s="139"/>
      <c r="H35" s="140"/>
    </row>
    <row r="36" spans="1:9" ht="20" customHeight="1" x14ac:dyDescent="0.2">
      <c r="A36" s="96"/>
      <c r="B36" s="136"/>
      <c r="C36" s="137"/>
      <c r="D36" s="138"/>
      <c r="E36" s="138"/>
      <c r="F36" s="138"/>
      <c r="G36" s="139"/>
      <c r="H36" s="140"/>
    </row>
    <row r="37" spans="1:9" ht="20" customHeight="1" thickBot="1" x14ac:dyDescent="0.25">
      <c r="A37" s="96"/>
      <c r="B37" s="141"/>
      <c r="C37" s="142"/>
      <c r="D37" s="143"/>
      <c r="E37" s="143"/>
      <c r="F37" s="143"/>
      <c r="G37" s="144"/>
      <c r="H37" s="145"/>
    </row>
    <row r="38" spans="1:9" ht="29" customHeight="1" thickBot="1" x14ac:dyDescent="0.25">
      <c r="B38" s="189" t="s">
        <v>93</v>
      </c>
      <c r="C38" s="202"/>
      <c r="F38" s="146"/>
      <c r="G38" s="53" t="s">
        <v>42</v>
      </c>
    </row>
    <row r="39" spans="1:9" s="147" customFormat="1" ht="18" x14ac:dyDescent="0.25">
      <c r="B39" s="194">
        <f>SUM(B24:C37)</f>
        <v>1</v>
      </c>
      <c r="C39" s="194"/>
      <c r="D39" s="40"/>
      <c r="E39" s="92"/>
      <c r="F39" s="148"/>
      <c r="G39" s="149">
        <f>SUM(G24:G37)</f>
        <v>18</v>
      </c>
      <c r="H39" s="150" t="s">
        <v>43</v>
      </c>
      <c r="I39" s="36"/>
    </row>
    <row r="40" spans="1:9" s="147" customFormat="1" ht="18" x14ac:dyDescent="0.25">
      <c r="B40" s="176"/>
      <c r="C40" s="176"/>
      <c r="D40" s="40"/>
      <c r="E40" s="92"/>
      <c r="F40" s="148"/>
      <c r="G40" s="177"/>
      <c r="H40" s="150"/>
      <c r="I40" s="36"/>
    </row>
    <row r="41" spans="1:9" s="147" customFormat="1" ht="27" customHeight="1" thickBot="1" x14ac:dyDescent="0.25">
      <c r="B41" s="101"/>
      <c r="C41" s="101"/>
      <c r="D41" s="101"/>
      <c r="F41" s="146"/>
      <c r="G41" s="151"/>
      <c r="H41" s="152"/>
      <c r="I41" s="36"/>
    </row>
    <row r="42" spans="1:9" ht="29" customHeight="1" x14ac:dyDescent="0.2">
      <c r="A42" s="96"/>
      <c r="B42" s="120" t="s">
        <v>47</v>
      </c>
      <c r="C42" s="153"/>
    </row>
    <row r="43" spans="1:9" ht="78" customHeight="1" x14ac:dyDescent="0.2">
      <c r="B43" s="182" t="s">
        <v>88</v>
      </c>
      <c r="C43" s="183"/>
      <c r="D43" s="183"/>
      <c r="E43" s="183"/>
      <c r="F43" s="183"/>
      <c r="G43" s="183"/>
      <c r="H43" s="184"/>
    </row>
    <row r="44" spans="1:9" ht="78" customHeight="1" x14ac:dyDescent="0.2">
      <c r="B44" s="178"/>
      <c r="C44" s="178"/>
      <c r="D44" s="178"/>
      <c r="E44" s="178"/>
      <c r="F44" s="178"/>
      <c r="G44" s="178"/>
      <c r="H44" s="178"/>
    </row>
    <row r="45" spans="1:9" ht="11" customHeight="1" x14ac:dyDescent="0.2"/>
    <row r="46" spans="1:9" ht="135" customHeight="1" thickBot="1" x14ac:dyDescent="0.25">
      <c r="B46" s="43"/>
      <c r="C46" s="43"/>
      <c r="D46" s="43"/>
      <c r="E46" s="43"/>
      <c r="F46" s="43"/>
      <c r="G46" s="43"/>
      <c r="H46" s="43"/>
    </row>
    <row r="47" spans="1:9" ht="4" customHeight="1" x14ac:dyDescent="0.2"/>
    <row r="48" spans="1:9" ht="13" customHeight="1" x14ac:dyDescent="0.2">
      <c r="B48" s="84" t="s">
        <v>48</v>
      </c>
      <c r="D48" s="85"/>
      <c r="E48" s="77" t="s">
        <v>25</v>
      </c>
      <c r="G48" s="77" t="s">
        <v>63</v>
      </c>
      <c r="H48" s="171" t="s">
        <v>13</v>
      </c>
    </row>
    <row r="49" spans="2:8" ht="21" customHeight="1" x14ac:dyDescent="0.2">
      <c r="B49" s="32"/>
      <c r="D49" s="85"/>
      <c r="E49" s="88"/>
      <c r="H49" s="86"/>
    </row>
    <row r="50" spans="2:8" ht="21" customHeight="1" x14ac:dyDescent="0.2">
      <c r="D50" s="154"/>
      <c r="F50" s="88"/>
    </row>
    <row r="51" spans="2:8" ht="21" customHeight="1" x14ac:dyDescent="0.2"/>
    <row r="52" spans="2:8" ht="21" customHeight="1" x14ac:dyDescent="0.2"/>
    <row r="53" spans="2:8" ht="21" customHeight="1" x14ac:dyDescent="0.2"/>
  </sheetData>
  <mergeCells count="26">
    <mergeCell ref="B7:D7"/>
    <mergeCell ref="B23:C23"/>
    <mergeCell ref="B21:C21"/>
    <mergeCell ref="D21:H21"/>
    <mergeCell ref="G17:H17"/>
    <mergeCell ref="B17:C17"/>
    <mergeCell ref="B18:C18"/>
    <mergeCell ref="B19:C19"/>
    <mergeCell ref="G19:H19"/>
    <mergeCell ref="G18:H18"/>
    <mergeCell ref="B10:D13"/>
    <mergeCell ref="B25:C25"/>
    <mergeCell ref="B43:H43"/>
    <mergeCell ref="G10:H10"/>
    <mergeCell ref="G12:H12"/>
    <mergeCell ref="G11:H11"/>
    <mergeCell ref="B28:C28"/>
    <mergeCell ref="D23:F23"/>
    <mergeCell ref="B24:C24"/>
    <mergeCell ref="B39:C39"/>
    <mergeCell ref="D24:F24"/>
    <mergeCell ref="D25:F25"/>
    <mergeCell ref="D26:F26"/>
    <mergeCell ref="B38:C38"/>
    <mergeCell ref="B26:C26"/>
    <mergeCell ref="B27:C27"/>
  </mergeCells>
  <pageMargins left="0.7" right="0.7" top="0.75" bottom="0.75" header="0.3" footer="0.3"/>
  <pageSetup paperSize="9" scale="6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D79CD-6D80-444C-9341-256E22DA6255}">
  <sheetPr>
    <pageSetUpPr fitToPage="1"/>
  </sheetPr>
  <dimension ref="A6:M44"/>
  <sheetViews>
    <sheetView view="pageBreakPreview" zoomScaleNormal="125" workbookViewId="0">
      <selection activeCell="H8" sqref="H8"/>
    </sheetView>
  </sheetViews>
  <sheetFormatPr baseColWidth="10" defaultColWidth="9.1640625" defaultRowHeight="14" x14ac:dyDescent="0.2"/>
  <cols>
    <col min="1" max="1" width="2.33203125" style="36" customWidth="1"/>
    <col min="2" max="2" width="10.5" style="36" customWidth="1"/>
    <col min="3" max="3" width="7.83203125" style="36" customWidth="1"/>
    <col min="4" max="4" width="14.83203125" style="36" customWidth="1"/>
    <col min="5" max="5" width="21.33203125" style="36" customWidth="1"/>
    <col min="6" max="6" width="15.5" style="36" customWidth="1"/>
    <col min="7" max="7" width="32.83203125" style="36" bestFit="1" customWidth="1"/>
    <col min="8" max="8" width="11.5" style="36" bestFit="1" customWidth="1"/>
    <col min="9" max="9" width="2.5" style="36" customWidth="1"/>
    <col min="10" max="16384" width="9.1640625" style="36"/>
  </cols>
  <sheetData>
    <row r="6" spans="1:8" ht="18" x14ac:dyDescent="0.2">
      <c r="H6" s="166" t="s">
        <v>26</v>
      </c>
    </row>
    <row r="7" spans="1:8" s="165" customFormat="1" ht="42" customHeight="1" x14ac:dyDescent="0.2">
      <c r="B7" s="155" t="s">
        <v>15</v>
      </c>
      <c r="H7" s="38">
        <v>45435</v>
      </c>
    </row>
    <row r="8" spans="1:8" s="40" customFormat="1" ht="18" x14ac:dyDescent="0.25">
      <c r="B8" s="168" t="str">
        <f>'TCN A4'!B3</f>
        <v># 002</v>
      </c>
      <c r="D8" s="224" t="s">
        <v>99</v>
      </c>
      <c r="E8" s="224"/>
    </row>
    <row r="9" spans="1:8" ht="32" customHeight="1" thickBot="1" x14ac:dyDescent="0.25">
      <c r="B9" s="42"/>
    </row>
    <row r="10" spans="1:8" ht="30" customHeight="1" thickBot="1" x14ac:dyDescent="0.3">
      <c r="B10" s="104"/>
      <c r="C10" s="104"/>
      <c r="D10" s="45"/>
      <c r="E10" s="51" t="s">
        <v>90</v>
      </c>
      <c r="F10" s="105"/>
      <c r="H10" s="46" t="s">
        <v>89</v>
      </c>
    </row>
    <row r="11" spans="1:8" ht="120" customHeight="1" x14ac:dyDescent="0.2">
      <c r="A11" s="47"/>
      <c r="B11" s="228" t="str">
        <f>'TCN A4'!B10</f>
        <v>مخازن شركة ريوسيرف
مؤسسة الزكاة ، بركة النصر، شارع أبو رجيله ، السلام أول، محافظة القاهرة 
مدير المخزن/ قرني عويس 
تيليفون/ ٠١٠٢٧١٩٨٤١٧</v>
      </c>
      <c r="C11" s="228"/>
      <c r="D11" s="228"/>
      <c r="E11" s="229"/>
      <c r="F11" s="48"/>
      <c r="G11" s="225" t="str">
        <f>'TCN A4'!B7</f>
        <v>Elite Global Logistics Ltd.</v>
      </c>
      <c r="H11" s="186"/>
    </row>
    <row r="13" spans="1:8" ht="15" thickBot="1" x14ac:dyDescent="0.25"/>
    <row r="14" spans="1:8" ht="30" customHeight="1" thickBot="1" x14ac:dyDescent="0.25">
      <c r="B14" s="235" t="s">
        <v>23</v>
      </c>
      <c r="C14" s="236"/>
      <c r="D14" s="230" t="str">
        <f>'TCN A4'!B3</f>
        <v># 002</v>
      </c>
      <c r="E14" s="186"/>
      <c r="F14" s="92"/>
      <c r="G14" s="94" t="s">
        <v>85</v>
      </c>
      <c r="H14" s="50" t="s">
        <v>50</v>
      </c>
    </row>
    <row r="15" spans="1:8" ht="30" customHeight="1" thickBot="1" x14ac:dyDescent="0.25">
      <c r="B15" s="235" t="s">
        <v>22</v>
      </c>
      <c r="C15" s="236"/>
      <c r="D15" s="230">
        <f>'TCN A4'!D17</f>
        <v>35518340874</v>
      </c>
      <c r="E15" s="186"/>
      <c r="F15" s="92"/>
      <c r="G15" s="94" t="s">
        <v>86</v>
      </c>
      <c r="H15" s="51" t="s">
        <v>58</v>
      </c>
    </row>
    <row r="16" spans="1:8" ht="30" customHeight="1" thickBot="1" x14ac:dyDescent="0.25">
      <c r="B16" s="235" t="s">
        <v>14</v>
      </c>
      <c r="C16" s="236"/>
      <c r="D16" s="230" t="str">
        <f>'TCN A4'!D18</f>
        <v>Dababah Open</v>
      </c>
      <c r="E16" s="186"/>
      <c r="F16" s="92"/>
      <c r="G16" s="94" t="s">
        <v>87</v>
      </c>
      <c r="H16" s="51" t="s">
        <v>51</v>
      </c>
    </row>
    <row r="17" spans="1:13" ht="21" customHeight="1" thickBot="1" x14ac:dyDescent="0.25"/>
    <row r="18" spans="1:13" ht="30" customHeight="1" thickBot="1" x14ac:dyDescent="0.25">
      <c r="B18" s="189" t="s">
        <v>55</v>
      </c>
      <c r="C18" s="202"/>
      <c r="D18" s="52" t="s">
        <v>54</v>
      </c>
      <c r="E18" s="53" t="s">
        <v>96</v>
      </c>
      <c r="F18" s="189" t="s">
        <v>53</v>
      </c>
      <c r="G18" s="202"/>
      <c r="H18" s="53" t="s">
        <v>52</v>
      </c>
    </row>
    <row r="19" spans="1:13" s="58" customFormat="1" ht="20" x14ac:dyDescent="0.25">
      <c r="A19" s="54"/>
      <c r="B19" s="226">
        <v>1</v>
      </c>
      <c r="C19" s="227"/>
      <c r="D19" s="55">
        <f>'TCN A4'!G24</f>
        <v>18</v>
      </c>
      <c r="E19" s="56" t="str">
        <f>'TCN A4'!H24</f>
        <v>60 x 40 x 30 CM</v>
      </c>
      <c r="F19" s="226" t="str">
        <f>'TCN A4'!D24</f>
        <v>1 Box of Mechanical Seals</v>
      </c>
      <c r="G19" s="227"/>
      <c r="H19" s="102">
        <v>1</v>
      </c>
    </row>
    <row r="20" spans="1:13" ht="20" x14ac:dyDescent="0.25">
      <c r="B20" s="222"/>
      <c r="C20" s="223"/>
      <c r="D20" s="59"/>
      <c r="E20" s="60"/>
      <c r="F20" s="222"/>
      <c r="G20" s="223"/>
      <c r="H20" s="61"/>
      <c r="M20" s="58"/>
    </row>
    <row r="21" spans="1:13" ht="20" x14ac:dyDescent="0.25">
      <c r="B21" s="222"/>
      <c r="C21" s="223"/>
      <c r="D21" s="59"/>
      <c r="E21" s="60"/>
      <c r="F21" s="222"/>
      <c r="G21" s="223"/>
      <c r="H21" s="61"/>
      <c r="M21" s="58"/>
    </row>
    <row r="22" spans="1:13" ht="20" x14ac:dyDescent="0.25">
      <c r="B22" s="222"/>
      <c r="C22" s="223"/>
      <c r="D22" s="59"/>
      <c r="E22" s="60"/>
      <c r="F22" s="222"/>
      <c r="G22" s="223"/>
      <c r="H22" s="62"/>
      <c r="M22" s="58"/>
    </row>
    <row r="23" spans="1:13" ht="20" x14ac:dyDescent="0.25">
      <c r="B23" s="222"/>
      <c r="C23" s="223"/>
      <c r="D23" s="59"/>
      <c r="E23" s="60"/>
      <c r="F23" s="237"/>
      <c r="G23" s="238"/>
      <c r="H23" s="63"/>
      <c r="M23" s="58"/>
    </row>
    <row r="24" spans="1:13" ht="21" thickBot="1" x14ac:dyDescent="0.3">
      <c r="B24" s="222"/>
      <c r="C24" s="223"/>
      <c r="D24" s="59"/>
      <c r="E24" s="60"/>
      <c r="F24" s="239"/>
      <c r="G24" s="240"/>
      <c r="H24" s="64"/>
      <c r="L24" s="43"/>
      <c r="M24" s="58"/>
    </row>
    <row r="25" spans="1:13" ht="20" x14ac:dyDescent="0.25">
      <c r="B25" s="222"/>
      <c r="C25" s="223"/>
      <c r="D25" s="59"/>
      <c r="E25" s="60"/>
      <c r="F25" s="222"/>
      <c r="G25" s="223"/>
      <c r="H25" s="60"/>
      <c r="M25" s="58"/>
    </row>
    <row r="26" spans="1:13" ht="20" x14ac:dyDescent="0.25">
      <c r="B26" s="222"/>
      <c r="C26" s="223"/>
      <c r="D26" s="59"/>
      <c r="E26" s="60"/>
      <c r="F26" s="222"/>
      <c r="G26" s="223"/>
      <c r="H26" s="63"/>
      <c r="M26" s="58"/>
    </row>
    <row r="27" spans="1:13" ht="21" thickBot="1" x14ac:dyDescent="0.3">
      <c r="B27" s="222"/>
      <c r="C27" s="223"/>
      <c r="D27" s="59"/>
      <c r="E27" s="60"/>
      <c r="F27" s="222"/>
      <c r="G27" s="223"/>
      <c r="H27" s="106"/>
    </row>
    <row r="28" spans="1:13" ht="20" x14ac:dyDescent="0.25">
      <c r="B28" s="222"/>
      <c r="C28" s="223"/>
      <c r="D28" s="59"/>
      <c r="E28" s="60"/>
      <c r="F28" s="222"/>
      <c r="G28" s="223"/>
      <c r="H28" s="59"/>
      <c r="M28" s="98"/>
    </row>
    <row r="29" spans="1:13" ht="20" x14ac:dyDescent="0.25">
      <c r="B29" s="222"/>
      <c r="C29" s="223"/>
      <c r="D29" s="59"/>
      <c r="E29" s="60"/>
      <c r="F29" s="222"/>
      <c r="G29" s="223"/>
      <c r="H29" s="66"/>
    </row>
    <row r="30" spans="1:13" ht="21" thickBot="1" x14ac:dyDescent="0.3">
      <c r="B30" s="233"/>
      <c r="C30" s="234"/>
      <c r="D30" s="67"/>
      <c r="E30" s="67"/>
      <c r="F30" s="233"/>
      <c r="G30" s="234"/>
      <c r="H30" s="70"/>
    </row>
    <row r="31" spans="1:13" ht="30" customHeight="1" thickBot="1" x14ac:dyDescent="0.25">
      <c r="B31" s="231" t="s">
        <v>56</v>
      </c>
      <c r="C31" s="232"/>
      <c r="D31" s="51" t="s">
        <v>57</v>
      </c>
    </row>
    <row r="32" spans="1:13" ht="30" customHeight="1" x14ac:dyDescent="0.2">
      <c r="B32" s="241">
        <f>SUM(B19:C30)</f>
        <v>1</v>
      </c>
      <c r="C32" s="241"/>
      <c r="D32" s="73">
        <f>SUM(D19:E30)</f>
        <v>18</v>
      </c>
      <c r="E32" s="74" t="s">
        <v>43</v>
      </c>
    </row>
    <row r="33" spans="1:9" ht="19" customHeight="1" thickBot="1" x14ac:dyDescent="0.25">
      <c r="B33" s="101"/>
    </row>
    <row r="34" spans="1:9" s="58" customFormat="1" ht="30" customHeight="1" thickBot="1" x14ac:dyDescent="0.3">
      <c r="B34" s="40"/>
      <c r="C34" s="107"/>
      <c r="D34" s="51" t="s">
        <v>62</v>
      </c>
      <c r="G34" s="108"/>
      <c r="H34" s="51" t="s">
        <v>59</v>
      </c>
    </row>
    <row r="35" spans="1:9" s="58" customFormat="1" ht="30" customHeight="1" thickBot="1" x14ac:dyDescent="0.3">
      <c r="B35" s="109"/>
      <c r="C35" s="92"/>
      <c r="D35" s="40"/>
      <c r="G35" s="110"/>
      <c r="H35" s="51" t="s">
        <v>60</v>
      </c>
    </row>
    <row r="36" spans="1:9" s="92" customFormat="1" ht="30" customHeight="1" thickBot="1" x14ac:dyDescent="0.3">
      <c r="B36" s="103"/>
      <c r="D36" s="111"/>
      <c r="G36" s="58"/>
    </row>
    <row r="37" spans="1:9" s="92" customFormat="1" ht="30" customHeight="1" thickBot="1" x14ac:dyDescent="0.3">
      <c r="B37" s="111"/>
      <c r="C37" s="112"/>
      <c r="D37" s="107"/>
      <c r="E37" s="113"/>
      <c r="F37" s="113"/>
      <c r="G37" s="58"/>
      <c r="H37" s="120" t="s">
        <v>61</v>
      </c>
    </row>
    <row r="38" spans="1:9" ht="25" customHeight="1" x14ac:dyDescent="0.2">
      <c r="B38" s="114"/>
      <c r="C38" s="115"/>
      <c r="D38" s="115"/>
      <c r="E38" s="115"/>
      <c r="F38" s="115"/>
      <c r="G38" s="115"/>
      <c r="H38" s="116"/>
      <c r="I38" s="117"/>
    </row>
    <row r="39" spans="1:9" ht="45" customHeight="1" x14ac:dyDescent="0.2">
      <c r="A39" s="47"/>
      <c r="B39" s="118"/>
      <c r="C39" s="44"/>
      <c r="D39" s="44"/>
      <c r="E39" s="44"/>
      <c r="F39" s="44"/>
      <c r="G39" s="44"/>
      <c r="H39" s="119"/>
    </row>
    <row r="40" spans="1:9" ht="25" customHeight="1" x14ac:dyDescent="0.2"/>
    <row r="41" spans="1:9" ht="23" customHeight="1" x14ac:dyDescent="0.2"/>
    <row r="42" spans="1:9" ht="17.25" customHeight="1" thickBot="1" x14ac:dyDescent="0.25">
      <c r="B42" s="43"/>
      <c r="C42" s="43"/>
      <c r="D42" s="43"/>
      <c r="E42" s="43"/>
      <c r="F42" s="43"/>
      <c r="G42" s="43"/>
      <c r="H42" s="43"/>
    </row>
    <row r="43" spans="1:9" ht="4" customHeight="1" x14ac:dyDescent="0.2"/>
    <row r="44" spans="1:9" ht="13" customHeight="1" x14ac:dyDescent="0.2">
      <c r="B44" s="84" t="s">
        <v>48</v>
      </c>
      <c r="D44" s="85"/>
      <c r="E44" s="77" t="s">
        <v>25</v>
      </c>
      <c r="G44" s="77" t="s">
        <v>63</v>
      </c>
      <c r="H44" s="170" t="s">
        <v>13</v>
      </c>
    </row>
  </sheetData>
  <mergeCells count="37">
    <mergeCell ref="B32:C32"/>
    <mergeCell ref="B18:C18"/>
    <mergeCell ref="B19:C19"/>
    <mergeCell ref="B30:C30"/>
    <mergeCell ref="B27:C27"/>
    <mergeCell ref="B26:C26"/>
    <mergeCell ref="B25:C25"/>
    <mergeCell ref="B24:C24"/>
    <mergeCell ref="B23:C23"/>
    <mergeCell ref="B28:C28"/>
    <mergeCell ref="B29:C29"/>
    <mergeCell ref="B22:C22"/>
    <mergeCell ref="B20:C20"/>
    <mergeCell ref="B21:C21"/>
    <mergeCell ref="F27:G27"/>
    <mergeCell ref="F28:G28"/>
    <mergeCell ref="D14:E14"/>
    <mergeCell ref="D15:E15"/>
    <mergeCell ref="B31:C31"/>
    <mergeCell ref="F29:G29"/>
    <mergeCell ref="F30:G30"/>
    <mergeCell ref="F18:G18"/>
    <mergeCell ref="D16:E16"/>
    <mergeCell ref="B14:C14"/>
    <mergeCell ref="B15:C15"/>
    <mergeCell ref="B16:C16"/>
    <mergeCell ref="F22:G22"/>
    <mergeCell ref="F23:G23"/>
    <mergeCell ref="F24:G24"/>
    <mergeCell ref="F25:G25"/>
    <mergeCell ref="F26:G26"/>
    <mergeCell ref="D8:E8"/>
    <mergeCell ref="G11:H11"/>
    <mergeCell ref="F19:G19"/>
    <mergeCell ref="F20:G20"/>
    <mergeCell ref="F21:G21"/>
    <mergeCell ref="B11:E11"/>
  </mergeCells>
  <pageMargins left="0.7" right="0.7" top="0.75" bottom="0.75" header="0.3" footer="0.3"/>
  <pageSetup paperSize="9"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D6560-F33C-2E49-9749-7877DAF16EB5}">
  <sheetPr>
    <pageSetUpPr fitToPage="1"/>
  </sheetPr>
  <dimension ref="A1:I83"/>
  <sheetViews>
    <sheetView view="pageBreakPreview" topLeftCell="A30" zoomScale="113" zoomScaleNormal="125" zoomScaleSheetLayoutView="40" workbookViewId="0">
      <selection activeCell="E43" sqref="E43"/>
    </sheetView>
  </sheetViews>
  <sheetFormatPr baseColWidth="10" defaultColWidth="9.1640625" defaultRowHeight="14" x14ac:dyDescent="0.2"/>
  <cols>
    <col min="1" max="1" width="2.33203125" style="36" customWidth="1"/>
    <col min="2" max="2" width="10.5" style="36" customWidth="1"/>
    <col min="3" max="3" width="6.5" style="36" customWidth="1"/>
    <col min="4" max="4" width="15.1640625" style="36" customWidth="1"/>
    <col min="5" max="5" width="21.33203125" style="36" customWidth="1"/>
    <col min="6" max="6" width="15.5" style="36" customWidth="1"/>
    <col min="7" max="7" width="27.33203125" style="36" customWidth="1"/>
    <col min="8" max="8" width="14.33203125" style="36" customWidth="1"/>
    <col min="9" max="9" width="2" style="36" customWidth="1"/>
    <col min="10" max="16384" width="9.1640625" style="36"/>
  </cols>
  <sheetData>
    <row r="1" spans="1:9" ht="15" customHeight="1" x14ac:dyDescent="0.2"/>
    <row r="2" spans="1:9" ht="11" customHeight="1" x14ac:dyDescent="0.2"/>
    <row r="5" spans="1:9" ht="18" x14ac:dyDescent="0.2">
      <c r="H5" s="166" t="s">
        <v>26</v>
      </c>
    </row>
    <row r="6" spans="1:9" ht="33" customHeight="1" x14ac:dyDescent="0.2">
      <c r="H6" s="37"/>
    </row>
    <row r="7" spans="1:9" ht="39" x14ac:dyDescent="0.2">
      <c r="B7" s="155" t="s">
        <v>64</v>
      </c>
      <c r="H7" s="38">
        <v>45434</v>
      </c>
      <c r="I7" s="39"/>
    </row>
    <row r="8" spans="1:9" s="40" customFormat="1" ht="20" customHeight="1" x14ac:dyDescent="0.25">
      <c r="B8" s="168" t="str">
        <f>'TCN A4'!B3</f>
        <v># 002</v>
      </c>
      <c r="D8" s="257" t="s">
        <v>101</v>
      </c>
      <c r="E8" s="257"/>
    </row>
    <row r="9" spans="1:9" ht="22" customHeight="1" thickBot="1" x14ac:dyDescent="0.25">
      <c r="B9" s="42"/>
      <c r="D9" s="43"/>
      <c r="E9" s="43"/>
    </row>
    <row r="10" spans="1:9" ht="29" customHeight="1" thickBot="1" x14ac:dyDescent="0.25">
      <c r="B10" s="44"/>
      <c r="C10" s="45"/>
      <c r="D10" s="231" t="s">
        <v>65</v>
      </c>
      <c r="E10" s="232"/>
      <c r="H10" s="46" t="s">
        <v>66</v>
      </c>
    </row>
    <row r="11" spans="1:9" ht="120" customHeight="1" x14ac:dyDescent="0.2">
      <c r="A11" s="47"/>
      <c r="B11" s="228" t="str">
        <f>'TCN A4'!B10</f>
        <v>مخازن شركة ريوسيرف
مؤسسة الزكاة ، بركة النصر، شارع أبو رجيله ، السلام أول، محافظة القاهرة 
مدير المخزن/ قرني عويس 
تيليفون/ ٠١٠٢٧١٩٨٤١٧</v>
      </c>
      <c r="C11" s="228"/>
      <c r="D11" s="228"/>
      <c r="E11" s="229"/>
      <c r="F11" s="48"/>
      <c r="G11" s="225" t="s">
        <v>78</v>
      </c>
      <c r="H11" s="186"/>
    </row>
    <row r="13" spans="1:9" ht="15" thickBot="1" x14ac:dyDescent="0.25"/>
    <row r="14" spans="1:9" s="49" customFormat="1" ht="30" customHeight="1" thickBot="1" x14ac:dyDescent="0.3">
      <c r="B14" s="235" t="s">
        <v>23</v>
      </c>
      <c r="C14" s="236"/>
      <c r="D14" s="259" t="str">
        <f>'TCN A4'!B3</f>
        <v># 002</v>
      </c>
      <c r="E14" s="259"/>
      <c r="G14" s="35" t="s">
        <v>85</v>
      </c>
      <c r="H14" s="50" t="s">
        <v>50</v>
      </c>
    </row>
    <row r="15" spans="1:9" s="49" customFormat="1" ht="30" customHeight="1" thickBot="1" x14ac:dyDescent="0.3">
      <c r="B15" s="235" t="s">
        <v>22</v>
      </c>
      <c r="C15" s="236"/>
      <c r="D15" s="260">
        <f>'TCN A4'!D17</f>
        <v>35518340874</v>
      </c>
      <c r="E15" s="259"/>
      <c r="G15" s="35" t="s">
        <v>86</v>
      </c>
      <c r="H15" s="51" t="s">
        <v>58</v>
      </c>
    </row>
    <row r="16" spans="1:9" s="49" customFormat="1" ht="30" customHeight="1" thickBot="1" x14ac:dyDescent="0.3">
      <c r="B16" s="235" t="s">
        <v>14</v>
      </c>
      <c r="C16" s="236"/>
      <c r="D16" s="260" t="str">
        <f>'TCN A4'!D18</f>
        <v>Dababah Open</v>
      </c>
      <c r="E16" s="259"/>
      <c r="G16" s="35" t="s">
        <v>87</v>
      </c>
      <c r="H16" s="51" t="s">
        <v>51</v>
      </c>
    </row>
    <row r="17" spans="1:8" ht="11.25" customHeight="1" thickBot="1" x14ac:dyDescent="0.25"/>
    <row r="18" spans="1:8" ht="30" customHeight="1" thickBot="1" x14ac:dyDescent="0.25">
      <c r="B18" s="189" t="s">
        <v>55</v>
      </c>
      <c r="C18" s="202"/>
      <c r="D18" s="52" t="s">
        <v>54</v>
      </c>
      <c r="E18" s="53" t="s">
        <v>96</v>
      </c>
      <c r="F18" s="245" t="s">
        <v>53</v>
      </c>
      <c r="G18" s="246"/>
      <c r="H18" s="53" t="s">
        <v>52</v>
      </c>
    </row>
    <row r="19" spans="1:8" s="58" customFormat="1" ht="20" x14ac:dyDescent="0.25">
      <c r="A19" s="54"/>
      <c r="B19" s="262">
        <v>1</v>
      </c>
      <c r="C19" s="263"/>
      <c r="D19" s="55">
        <f>'TCN A4'!G24</f>
        <v>18</v>
      </c>
      <c r="E19" s="56" t="str">
        <f>'DN A4'!E19</f>
        <v>60 x 40 x 30 CM</v>
      </c>
      <c r="F19" s="226" t="str">
        <f>'TCN A4'!D24</f>
        <v>1 Box of Mechanical Seals</v>
      </c>
      <c r="G19" s="227"/>
      <c r="H19" s="57">
        <v>1</v>
      </c>
    </row>
    <row r="20" spans="1:8" s="58" customFormat="1" ht="20" x14ac:dyDescent="0.25">
      <c r="B20" s="251"/>
      <c r="C20" s="252"/>
      <c r="D20" s="59"/>
      <c r="E20" s="60"/>
      <c r="F20" s="222"/>
      <c r="G20" s="223"/>
      <c r="H20" s="61"/>
    </row>
    <row r="21" spans="1:8" s="58" customFormat="1" ht="20" x14ac:dyDescent="0.25">
      <c r="B21" s="222"/>
      <c r="C21" s="223"/>
      <c r="D21" s="59"/>
      <c r="E21" s="60"/>
      <c r="F21" s="222"/>
      <c r="G21" s="223"/>
      <c r="H21" s="61"/>
    </row>
    <row r="22" spans="1:8" s="58" customFormat="1" ht="20" x14ac:dyDescent="0.25">
      <c r="B22" s="222"/>
      <c r="C22" s="223"/>
      <c r="D22" s="59"/>
      <c r="E22" s="60"/>
      <c r="F22" s="249"/>
      <c r="G22" s="250"/>
      <c r="H22" s="62"/>
    </row>
    <row r="23" spans="1:8" s="58" customFormat="1" ht="20" x14ac:dyDescent="0.25">
      <c r="B23" s="222"/>
      <c r="C23" s="223"/>
      <c r="D23" s="59"/>
      <c r="E23" s="60"/>
      <c r="F23" s="237"/>
      <c r="G23" s="238"/>
      <c r="H23" s="63"/>
    </row>
    <row r="24" spans="1:8" s="58" customFormat="1" ht="20" x14ac:dyDescent="0.25">
      <c r="B24" s="222"/>
      <c r="C24" s="223"/>
      <c r="D24" s="59"/>
      <c r="E24" s="60"/>
      <c r="F24" s="239"/>
      <c r="G24" s="240"/>
      <c r="H24" s="64"/>
    </row>
    <row r="25" spans="1:8" s="58" customFormat="1" ht="20" x14ac:dyDescent="0.25">
      <c r="B25" s="222"/>
      <c r="C25" s="223"/>
      <c r="D25" s="59"/>
      <c r="E25" s="60"/>
      <c r="F25" s="249"/>
      <c r="G25" s="250"/>
      <c r="H25" s="60"/>
    </row>
    <row r="26" spans="1:8" s="58" customFormat="1" ht="20" x14ac:dyDescent="0.25">
      <c r="B26" s="222"/>
      <c r="C26" s="223"/>
      <c r="D26" s="59"/>
      <c r="E26" s="60"/>
      <c r="F26" s="65"/>
      <c r="G26" s="63"/>
      <c r="H26" s="66"/>
    </row>
    <row r="27" spans="1:8" s="58" customFormat="1" ht="21" thickBot="1" x14ac:dyDescent="0.3">
      <c r="B27" s="233"/>
      <c r="C27" s="234"/>
      <c r="D27" s="59"/>
      <c r="E27" s="67"/>
      <c r="F27" s="68"/>
      <c r="G27" s="69"/>
      <c r="H27" s="70"/>
    </row>
    <row r="28" spans="1:8" ht="31" customHeight="1" thickBot="1" x14ac:dyDescent="0.25">
      <c r="B28" s="231" t="s">
        <v>56</v>
      </c>
      <c r="C28" s="232"/>
      <c r="D28" s="71" t="s">
        <v>57</v>
      </c>
      <c r="E28" s="72"/>
    </row>
    <row r="29" spans="1:8" ht="24" customHeight="1" x14ac:dyDescent="0.25">
      <c r="B29" s="254">
        <f>SUM(B19:C27)</f>
        <v>1</v>
      </c>
      <c r="C29" s="254"/>
      <c r="D29" s="73">
        <f>SUM(D19:E27)</f>
        <v>18</v>
      </c>
      <c r="E29" s="74" t="s">
        <v>43</v>
      </c>
    </row>
    <row r="30" spans="1:8" ht="24" customHeight="1" x14ac:dyDescent="0.25">
      <c r="B30" s="41"/>
      <c r="C30" s="41"/>
      <c r="D30" s="75"/>
      <c r="E30" s="74"/>
    </row>
    <row r="31" spans="1:8" ht="24" customHeight="1" x14ac:dyDescent="0.2">
      <c r="B31" s="76"/>
      <c r="C31" s="76"/>
      <c r="D31" s="77"/>
      <c r="E31" s="77"/>
    </row>
    <row r="32" spans="1:8" ht="18" x14ac:dyDescent="0.2">
      <c r="B32" s="76"/>
      <c r="C32" s="76"/>
      <c r="D32" s="77"/>
      <c r="E32" s="77"/>
      <c r="H32" s="78" t="s">
        <v>71</v>
      </c>
    </row>
    <row r="33" spans="1:9" ht="40" customHeight="1" x14ac:dyDescent="0.2">
      <c r="A33" s="253" t="s">
        <v>72</v>
      </c>
      <c r="B33" s="253"/>
      <c r="C33" s="253"/>
      <c r="D33" s="253"/>
      <c r="E33" s="253"/>
      <c r="F33" s="253"/>
      <c r="G33" s="253"/>
      <c r="H33" s="253"/>
    </row>
    <row r="34" spans="1:9" ht="44" customHeight="1" x14ac:dyDescent="0.25">
      <c r="A34" s="79"/>
      <c r="B34" s="261" t="s">
        <v>74</v>
      </c>
      <c r="C34" s="261"/>
      <c r="D34" s="261"/>
      <c r="E34" s="261"/>
      <c r="F34" s="261"/>
      <c r="G34" s="261"/>
      <c r="H34" s="261"/>
      <c r="I34" s="80">
        <v>-1</v>
      </c>
    </row>
    <row r="35" spans="1:9" ht="20" x14ac:dyDescent="0.25">
      <c r="B35" s="253" t="s">
        <v>69</v>
      </c>
      <c r="C35" s="253"/>
      <c r="D35" s="253"/>
      <c r="E35" s="253"/>
      <c r="F35" s="253"/>
      <c r="G35" s="253"/>
      <c r="H35" s="253"/>
      <c r="I35" s="81">
        <v>-2</v>
      </c>
    </row>
    <row r="36" spans="1:9" ht="20" x14ac:dyDescent="0.25">
      <c r="B36" s="253" t="s">
        <v>68</v>
      </c>
      <c r="C36" s="253"/>
      <c r="D36" s="253"/>
      <c r="E36" s="253"/>
      <c r="F36" s="253"/>
      <c r="G36" s="253"/>
      <c r="H36" s="253"/>
      <c r="I36" s="81">
        <v>-3</v>
      </c>
    </row>
    <row r="37" spans="1:9" ht="20" x14ac:dyDescent="0.25">
      <c r="B37" s="253" t="s">
        <v>67</v>
      </c>
      <c r="C37" s="253"/>
      <c r="D37" s="253"/>
      <c r="E37" s="253"/>
      <c r="F37" s="253"/>
      <c r="G37" s="253"/>
      <c r="H37" s="253"/>
      <c r="I37" s="81">
        <v>-4</v>
      </c>
    </row>
    <row r="38" spans="1:9" ht="20" x14ac:dyDescent="0.25">
      <c r="B38" s="253" t="s">
        <v>73</v>
      </c>
      <c r="C38" s="253"/>
      <c r="D38" s="253"/>
      <c r="E38" s="253"/>
      <c r="F38" s="253"/>
      <c r="G38" s="253"/>
      <c r="H38" s="253"/>
      <c r="I38" s="81">
        <v>-5</v>
      </c>
    </row>
    <row r="39" spans="1:9" ht="20" x14ac:dyDescent="0.25">
      <c r="B39" s="253" t="s">
        <v>70</v>
      </c>
      <c r="C39" s="253"/>
      <c r="D39" s="253"/>
      <c r="E39" s="253"/>
      <c r="F39" s="253"/>
      <c r="G39" s="253"/>
      <c r="H39" s="253"/>
      <c r="I39" s="81">
        <v>-6</v>
      </c>
    </row>
    <row r="40" spans="1:9" ht="16" customHeight="1" x14ac:dyDescent="0.25">
      <c r="B40" s="79"/>
      <c r="C40" s="79"/>
      <c r="D40" s="79"/>
      <c r="E40" s="79"/>
      <c r="F40" s="79"/>
      <c r="G40" s="79"/>
      <c r="H40" s="79"/>
      <c r="I40" s="81"/>
    </row>
    <row r="41" spans="1:9" ht="20" x14ac:dyDescent="0.25">
      <c r="B41" s="79"/>
      <c r="C41" s="79"/>
      <c r="D41" s="79"/>
      <c r="E41" s="82" t="s">
        <v>76</v>
      </c>
      <c r="F41" s="79"/>
      <c r="G41" s="79"/>
      <c r="H41" s="82" t="s">
        <v>75</v>
      </c>
      <c r="I41" s="81"/>
    </row>
    <row r="42" spans="1:9" ht="20" x14ac:dyDescent="0.25">
      <c r="B42" s="79"/>
      <c r="C42" s="79"/>
      <c r="D42" s="79"/>
      <c r="E42" s="79"/>
      <c r="F42" s="79"/>
      <c r="G42" s="79"/>
      <c r="H42" s="82" t="s">
        <v>77</v>
      </c>
      <c r="I42" s="81"/>
    </row>
    <row r="43" spans="1:9" ht="32" customHeight="1" x14ac:dyDescent="0.25">
      <c r="B43" s="79"/>
      <c r="C43" s="79"/>
      <c r="D43" s="79"/>
      <c r="E43" s="79"/>
      <c r="F43" s="79"/>
      <c r="G43" s="79"/>
      <c r="H43" s="82"/>
      <c r="I43" s="81"/>
    </row>
    <row r="44" spans="1:9" ht="17" customHeight="1" thickBot="1" x14ac:dyDescent="0.25">
      <c r="B44" s="83"/>
      <c r="C44" s="83"/>
      <c r="D44" s="83"/>
      <c r="E44" s="83"/>
      <c r="F44" s="83"/>
      <c r="G44" s="83"/>
      <c r="H44" s="83"/>
    </row>
    <row r="45" spans="1:9" ht="4" customHeight="1" x14ac:dyDescent="0.2"/>
    <row r="46" spans="1:9" ht="13" customHeight="1" x14ac:dyDescent="0.2">
      <c r="B46" s="84" t="s">
        <v>48</v>
      </c>
      <c r="D46" s="85"/>
      <c r="E46" s="77" t="s">
        <v>25</v>
      </c>
      <c r="G46" s="77" t="s">
        <v>63</v>
      </c>
      <c r="H46" s="170" t="s">
        <v>13</v>
      </c>
    </row>
    <row r="47" spans="1:9" ht="13" customHeight="1" x14ac:dyDescent="0.2">
      <c r="B47" s="32"/>
      <c r="D47" s="85"/>
      <c r="F47" s="87"/>
      <c r="G47" s="88"/>
      <c r="H47" s="86"/>
    </row>
    <row r="51" spans="1:9" ht="58" customHeight="1" x14ac:dyDescent="0.2"/>
    <row r="52" spans="1:9" x14ac:dyDescent="0.2">
      <c r="H52" s="169" t="s">
        <v>91</v>
      </c>
    </row>
    <row r="53" spans="1:9" x14ac:dyDescent="0.2">
      <c r="H53" s="37"/>
    </row>
    <row r="54" spans="1:9" s="165" customFormat="1" ht="39" x14ac:dyDescent="0.2">
      <c r="B54" s="155" t="s">
        <v>64</v>
      </c>
      <c r="H54" s="38">
        <v>45434</v>
      </c>
      <c r="I54" s="167"/>
    </row>
    <row r="55" spans="1:9" s="40" customFormat="1" ht="18" x14ac:dyDescent="0.25">
      <c r="B55" s="172" t="str">
        <f>B8</f>
        <v># 002</v>
      </c>
      <c r="D55" s="258" t="s">
        <v>95</v>
      </c>
      <c r="E55" s="258"/>
    </row>
    <row r="56" spans="1:9" ht="19" thickBot="1" x14ac:dyDescent="0.3">
      <c r="B56" s="90"/>
      <c r="E56" s="77"/>
      <c r="H56" s="40"/>
    </row>
    <row r="57" spans="1:9" ht="24" thickBot="1" x14ac:dyDescent="0.3">
      <c r="B57" s="42"/>
      <c r="C57" s="255" t="s">
        <v>92</v>
      </c>
      <c r="D57" s="256"/>
      <c r="E57" s="256"/>
      <c r="F57" s="256"/>
      <c r="G57" s="256"/>
      <c r="H57" s="174"/>
    </row>
    <row r="58" spans="1:9" ht="21" thickBot="1" x14ac:dyDescent="0.3">
      <c r="B58" s="42"/>
      <c r="D58" s="91"/>
      <c r="E58" s="91"/>
      <c r="F58" s="91"/>
      <c r="G58" s="91"/>
      <c r="H58" s="40"/>
    </row>
    <row r="59" spans="1:9" ht="28" customHeight="1" thickBot="1" x14ac:dyDescent="0.3">
      <c r="B59" s="44"/>
      <c r="C59" s="45"/>
      <c r="D59" s="231" t="s">
        <v>65</v>
      </c>
      <c r="E59" s="232"/>
      <c r="F59" s="92"/>
      <c r="G59" s="58"/>
      <c r="H59" s="46" t="s">
        <v>66</v>
      </c>
      <c r="I59" s="58"/>
    </row>
    <row r="60" spans="1:9" ht="120" customHeight="1" x14ac:dyDescent="0.2">
      <c r="A60" s="47"/>
      <c r="B60" s="228" t="str">
        <f>B11</f>
        <v>مخازن شركة ريوسيرف
مؤسسة الزكاة ، بركة النصر، شارع أبو رجيله ، السلام أول، محافظة القاهرة 
مدير المخزن/ قرني عويس 
تيليفون/ ٠١٠٢٧١٩٨٤١٧</v>
      </c>
      <c r="C60" s="228"/>
      <c r="D60" s="228"/>
      <c r="E60" s="229"/>
      <c r="F60" s="48"/>
      <c r="G60" s="225" t="s">
        <v>78</v>
      </c>
      <c r="H60" s="186"/>
    </row>
    <row r="62" spans="1:9" ht="15" thickBot="1" x14ac:dyDescent="0.25"/>
    <row r="63" spans="1:9" ht="30" customHeight="1" thickBot="1" x14ac:dyDescent="0.25">
      <c r="B63" s="235" t="s">
        <v>23</v>
      </c>
      <c r="C63" s="236"/>
      <c r="D63" s="244" t="str">
        <f>D14</f>
        <v># 002</v>
      </c>
      <c r="E63" s="244"/>
      <c r="F63" s="93"/>
      <c r="G63" s="94" t="s">
        <v>85</v>
      </c>
      <c r="H63" s="50" t="s">
        <v>50</v>
      </c>
    </row>
    <row r="64" spans="1:9" ht="30" customHeight="1" thickBot="1" x14ac:dyDescent="0.25">
      <c r="B64" s="235" t="s">
        <v>22</v>
      </c>
      <c r="C64" s="236"/>
      <c r="D64" s="186">
        <f>D15</f>
        <v>35518340874</v>
      </c>
      <c r="E64" s="244"/>
      <c r="F64" s="93"/>
      <c r="G64" s="94" t="s">
        <v>86</v>
      </c>
      <c r="H64" s="51" t="s">
        <v>58</v>
      </c>
    </row>
    <row r="65" spans="1:8" ht="30" customHeight="1" thickBot="1" x14ac:dyDescent="0.25">
      <c r="B65" s="235" t="s">
        <v>14</v>
      </c>
      <c r="C65" s="236"/>
      <c r="D65" s="186" t="str">
        <f>D16</f>
        <v>Dababah Open</v>
      </c>
      <c r="E65" s="244"/>
      <c r="F65" s="93"/>
      <c r="G65" s="94" t="s">
        <v>87</v>
      </c>
      <c r="H65" s="51" t="s">
        <v>51</v>
      </c>
    </row>
    <row r="66" spans="1:8" ht="15" thickBot="1" x14ac:dyDescent="0.25"/>
    <row r="67" spans="1:8" s="95" customFormat="1" ht="30" customHeight="1" thickBot="1" x14ac:dyDescent="0.25">
      <c r="B67" s="189" t="s">
        <v>55</v>
      </c>
      <c r="C67" s="202"/>
      <c r="D67" s="52" t="s">
        <v>54</v>
      </c>
      <c r="E67" s="53" t="s">
        <v>96</v>
      </c>
      <c r="F67" s="245" t="s">
        <v>53</v>
      </c>
      <c r="G67" s="246"/>
      <c r="H67" s="53" t="s">
        <v>52</v>
      </c>
    </row>
    <row r="68" spans="1:8" ht="20" x14ac:dyDescent="0.25">
      <c r="A68" s="96"/>
      <c r="B68" s="226">
        <v>1</v>
      </c>
      <c r="C68" s="227"/>
      <c r="D68" s="55">
        <f>D19</f>
        <v>18</v>
      </c>
      <c r="E68" s="56" t="str">
        <f>E19</f>
        <v>60 x 40 x 30 CM</v>
      </c>
      <c r="F68" s="247" t="str">
        <f>F19</f>
        <v>1 Box of Mechanical Seals</v>
      </c>
      <c r="G68" s="248"/>
      <c r="H68" s="102">
        <v>1</v>
      </c>
    </row>
    <row r="69" spans="1:8" ht="20" x14ac:dyDescent="0.25">
      <c r="B69" s="251"/>
      <c r="C69" s="252"/>
      <c r="D69" s="59"/>
      <c r="E69" s="60"/>
      <c r="F69" s="222"/>
      <c r="G69" s="223"/>
      <c r="H69" s="61"/>
    </row>
    <row r="70" spans="1:8" ht="20" x14ac:dyDescent="0.25">
      <c r="B70" s="222"/>
      <c r="C70" s="223"/>
      <c r="D70" s="59"/>
      <c r="E70" s="60"/>
      <c r="F70" s="222"/>
      <c r="G70" s="223"/>
      <c r="H70" s="61"/>
    </row>
    <row r="71" spans="1:8" ht="20" x14ac:dyDescent="0.25">
      <c r="B71" s="222"/>
      <c r="C71" s="223"/>
      <c r="D71" s="59"/>
      <c r="E71" s="60"/>
      <c r="F71" s="249"/>
      <c r="G71" s="250"/>
      <c r="H71" s="62"/>
    </row>
    <row r="72" spans="1:8" ht="20" x14ac:dyDescent="0.25">
      <c r="B72" s="222"/>
      <c r="C72" s="223"/>
      <c r="D72" s="59"/>
      <c r="E72" s="60"/>
      <c r="F72" s="237"/>
      <c r="G72" s="238"/>
      <c r="H72" s="63"/>
    </row>
    <row r="73" spans="1:8" ht="20" x14ac:dyDescent="0.25">
      <c r="B73" s="222"/>
      <c r="C73" s="223"/>
      <c r="D73" s="59"/>
      <c r="E73" s="60"/>
      <c r="F73" s="239"/>
      <c r="G73" s="240"/>
      <c r="H73" s="64"/>
    </row>
    <row r="74" spans="1:8" ht="20" x14ac:dyDescent="0.25">
      <c r="B74" s="222"/>
      <c r="C74" s="223"/>
      <c r="D74" s="59"/>
      <c r="E74" s="60"/>
      <c r="F74" s="249"/>
      <c r="G74" s="250"/>
      <c r="H74" s="60"/>
    </row>
    <row r="75" spans="1:8" ht="20" x14ac:dyDescent="0.25">
      <c r="B75" s="222"/>
      <c r="C75" s="223"/>
      <c r="D75" s="59"/>
      <c r="E75" s="60"/>
      <c r="F75" s="222"/>
      <c r="G75" s="223"/>
      <c r="H75" s="63"/>
    </row>
    <row r="76" spans="1:8" ht="21" thickBot="1" x14ac:dyDescent="0.3">
      <c r="B76" s="222"/>
      <c r="C76" s="223"/>
      <c r="D76" s="59"/>
      <c r="E76" s="67"/>
      <c r="F76" s="233"/>
      <c r="G76" s="234"/>
      <c r="H76" s="97"/>
    </row>
    <row r="77" spans="1:8" ht="30" customHeight="1" thickBot="1" x14ac:dyDescent="0.25">
      <c r="B77" s="189" t="s">
        <v>56</v>
      </c>
      <c r="C77" s="202"/>
      <c r="D77" s="51" t="s">
        <v>57</v>
      </c>
      <c r="H77" s="98"/>
    </row>
    <row r="78" spans="1:8" ht="20" x14ac:dyDescent="0.25">
      <c r="B78" s="243">
        <f>SUM(B68:C76)</f>
        <v>1</v>
      </c>
      <c r="C78" s="243"/>
      <c r="D78" s="99">
        <f>SUM(D68:E76)</f>
        <v>18</v>
      </c>
      <c r="E78" s="100" t="s">
        <v>43</v>
      </c>
    </row>
    <row r="79" spans="1:8" x14ac:dyDescent="0.2">
      <c r="B79" s="76"/>
      <c r="C79" s="76"/>
      <c r="D79" s="77"/>
      <c r="E79" s="77"/>
    </row>
    <row r="80" spans="1:8" x14ac:dyDescent="0.2">
      <c r="F80" s="242"/>
      <c r="G80" s="242"/>
      <c r="H80" s="242"/>
    </row>
    <row r="81" spans="2:8" ht="17.25" customHeight="1" thickBot="1" x14ac:dyDescent="0.25">
      <c r="B81" s="43"/>
      <c r="C81" s="43"/>
      <c r="D81" s="43"/>
      <c r="E81" s="43"/>
      <c r="F81" s="43"/>
      <c r="G81" s="43"/>
      <c r="H81" s="43"/>
    </row>
    <row r="82" spans="2:8" ht="4" customHeight="1" x14ac:dyDescent="0.2"/>
    <row r="83" spans="2:8" ht="13" customHeight="1" x14ac:dyDescent="0.2">
      <c r="B83" s="84" t="s">
        <v>48</v>
      </c>
      <c r="D83" s="85"/>
      <c r="E83" s="77" t="s">
        <v>25</v>
      </c>
      <c r="G83" s="77" t="s">
        <v>63</v>
      </c>
      <c r="H83" s="170" t="s">
        <v>13</v>
      </c>
    </row>
  </sheetData>
  <mergeCells count="71">
    <mergeCell ref="B18:C18"/>
    <mergeCell ref="F18:G18"/>
    <mergeCell ref="B35:H35"/>
    <mergeCell ref="B26:C26"/>
    <mergeCell ref="B27:C27"/>
    <mergeCell ref="F20:G20"/>
    <mergeCell ref="F19:G19"/>
    <mergeCell ref="B25:C25"/>
    <mergeCell ref="F25:G25"/>
    <mergeCell ref="B23:C23"/>
    <mergeCell ref="F23:G23"/>
    <mergeCell ref="B24:C24"/>
    <mergeCell ref="F24:G24"/>
    <mergeCell ref="A33:H33"/>
    <mergeCell ref="D8:E8"/>
    <mergeCell ref="D55:E55"/>
    <mergeCell ref="G11:H11"/>
    <mergeCell ref="B14:C14"/>
    <mergeCell ref="D14:E14"/>
    <mergeCell ref="B15:C15"/>
    <mergeCell ref="D15:E15"/>
    <mergeCell ref="B21:C21"/>
    <mergeCell ref="F21:G21"/>
    <mergeCell ref="B22:C22"/>
    <mergeCell ref="F22:G22"/>
    <mergeCell ref="B16:C16"/>
    <mergeCell ref="D16:E16"/>
    <mergeCell ref="B34:H34"/>
    <mergeCell ref="B19:C19"/>
    <mergeCell ref="B20:C20"/>
    <mergeCell ref="B36:H36"/>
    <mergeCell ref="B75:C75"/>
    <mergeCell ref="F75:G75"/>
    <mergeCell ref="B72:C72"/>
    <mergeCell ref="F72:G72"/>
    <mergeCell ref="B73:C73"/>
    <mergeCell ref="F73:G73"/>
    <mergeCell ref="B37:H37"/>
    <mergeCell ref="C57:G57"/>
    <mergeCell ref="D10:E10"/>
    <mergeCell ref="B60:E60"/>
    <mergeCell ref="D59:E59"/>
    <mergeCell ref="F68:G68"/>
    <mergeCell ref="B74:C74"/>
    <mergeCell ref="F74:G74"/>
    <mergeCell ref="B70:C70"/>
    <mergeCell ref="F70:G70"/>
    <mergeCell ref="B71:C71"/>
    <mergeCell ref="F71:G71"/>
    <mergeCell ref="B69:C69"/>
    <mergeCell ref="F69:G69"/>
    <mergeCell ref="B38:H38"/>
    <mergeCell ref="B39:H39"/>
    <mergeCell ref="B28:C28"/>
    <mergeCell ref="B29:C29"/>
    <mergeCell ref="F80:H80"/>
    <mergeCell ref="B77:C77"/>
    <mergeCell ref="B78:C78"/>
    <mergeCell ref="B11:E11"/>
    <mergeCell ref="G60:H60"/>
    <mergeCell ref="B63:C63"/>
    <mergeCell ref="D63:E63"/>
    <mergeCell ref="B64:C64"/>
    <mergeCell ref="D64:E64"/>
    <mergeCell ref="B65:C65"/>
    <mergeCell ref="D65:E65"/>
    <mergeCell ref="B67:C67"/>
    <mergeCell ref="F67:G67"/>
    <mergeCell ref="B68:C68"/>
    <mergeCell ref="B76:C76"/>
    <mergeCell ref="F76:G76"/>
  </mergeCells>
  <pageMargins left="0.7" right="0.7" top="0.75" bottom="0.75" header="0.3" footer="0.3"/>
  <pageSetup paperSize="9" scale="72" fitToHeight="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E022A-5EA4-A34E-803E-15E7F2E14C2A}">
  <sheetPr>
    <pageSetUpPr fitToPage="1"/>
  </sheetPr>
  <dimension ref="A1:J31"/>
  <sheetViews>
    <sheetView view="pageBreakPreview" zoomScale="142" zoomScaleNormal="100" zoomScaleSheetLayoutView="113" workbookViewId="0">
      <selection activeCell="B6" sqref="B6:B9"/>
    </sheetView>
  </sheetViews>
  <sheetFormatPr baseColWidth="10" defaultColWidth="8.83203125" defaultRowHeight="15" x14ac:dyDescent="0.2"/>
  <cols>
    <col min="1" max="1" width="3.83203125" customWidth="1"/>
    <col min="2" max="2" width="14.6640625" customWidth="1"/>
    <col min="3" max="3" width="1.83203125" customWidth="1"/>
    <col min="4" max="4" width="20.83203125" customWidth="1"/>
    <col min="5" max="5" width="20.33203125" customWidth="1"/>
    <col min="6" max="6" width="14.6640625" customWidth="1"/>
    <col min="7" max="7" width="7.33203125" customWidth="1"/>
  </cols>
  <sheetData>
    <row r="1" spans="1:10" ht="69.75" customHeight="1" x14ac:dyDescent="0.2">
      <c r="A1" s="1"/>
      <c r="B1" s="1"/>
      <c r="C1" s="1"/>
      <c r="D1" s="1"/>
      <c r="E1" s="1"/>
      <c r="F1" s="1"/>
      <c r="G1" s="1"/>
    </row>
    <row r="2" spans="1:10" x14ac:dyDescent="0.2">
      <c r="A2" s="1"/>
      <c r="B2" s="1"/>
      <c r="C2" s="1"/>
      <c r="D2" s="1"/>
      <c r="E2" s="1"/>
      <c r="F2" s="1"/>
      <c r="G2" s="1"/>
    </row>
    <row r="3" spans="1:10" ht="41.25" customHeight="1" x14ac:dyDescent="0.2">
      <c r="A3" s="1"/>
      <c r="B3" s="164" t="s">
        <v>0</v>
      </c>
      <c r="C3" s="3"/>
      <c r="D3" s="3"/>
      <c r="E3" s="26"/>
      <c r="F3" s="25">
        <v>45427</v>
      </c>
    </row>
    <row r="4" spans="1:10" x14ac:dyDescent="0.2">
      <c r="A4" s="1"/>
      <c r="B4" s="173" t="s">
        <v>1</v>
      </c>
      <c r="C4" s="4"/>
      <c r="D4" s="4"/>
      <c r="E4" s="1"/>
      <c r="F4" s="1"/>
      <c r="G4" s="1"/>
    </row>
    <row r="5" spans="1:10" x14ac:dyDescent="0.2">
      <c r="A5" s="1"/>
      <c r="B5" s="1"/>
      <c r="C5" s="1"/>
      <c r="D5" s="1"/>
      <c r="E5" s="1"/>
      <c r="F5" s="1"/>
      <c r="G5" s="1"/>
    </row>
    <row r="6" spans="1:10" x14ac:dyDescent="0.2">
      <c r="A6" s="1"/>
      <c r="B6" s="1" t="s">
        <v>2</v>
      </c>
      <c r="C6" s="6" t="s">
        <v>3</v>
      </c>
      <c r="D6" s="30" t="str">
        <f>'TCN A4'!B7</f>
        <v>Elite Global Logistics Ltd.</v>
      </c>
      <c r="E6" s="30"/>
      <c r="F6" s="30"/>
      <c r="G6" s="1"/>
    </row>
    <row r="7" spans="1:10" x14ac:dyDescent="0.2">
      <c r="A7" s="1"/>
      <c r="B7" s="1" t="s">
        <v>23</v>
      </c>
      <c r="C7" s="6" t="s">
        <v>3</v>
      </c>
      <c r="D7" s="7" t="str">
        <f>'TCN A4'!B3</f>
        <v># 002</v>
      </c>
      <c r="E7" s="1"/>
      <c r="F7" s="1"/>
      <c r="G7" s="1"/>
    </row>
    <row r="8" spans="1:10" x14ac:dyDescent="0.2">
      <c r="A8" s="1"/>
      <c r="B8" s="1" t="s">
        <v>80</v>
      </c>
      <c r="C8" s="6" t="s">
        <v>3</v>
      </c>
      <c r="D8" s="7" t="str">
        <f>'DN A4'!B8</f>
        <v># 002</v>
      </c>
      <c r="E8" s="1"/>
      <c r="F8" s="1"/>
      <c r="G8" s="1"/>
    </row>
    <row r="9" spans="1:10" x14ac:dyDescent="0.2">
      <c r="A9" s="1"/>
      <c r="B9" s="1" t="s">
        <v>22</v>
      </c>
      <c r="C9" s="6" t="s">
        <v>3</v>
      </c>
      <c r="D9" s="29">
        <f>'TCN A4'!D17</f>
        <v>35518340874</v>
      </c>
      <c r="E9" s="1"/>
      <c r="F9" s="1"/>
      <c r="G9" s="1"/>
    </row>
    <row r="10" spans="1:10" x14ac:dyDescent="0.2">
      <c r="A10" s="1"/>
      <c r="B10" s="1"/>
      <c r="C10" s="6"/>
      <c r="D10" s="29"/>
      <c r="E10" s="1"/>
      <c r="F10" s="1"/>
      <c r="G10" s="1"/>
    </row>
    <row r="11" spans="1:10" x14ac:dyDescent="0.2">
      <c r="A11" s="1"/>
      <c r="B11" s="19"/>
      <c r="C11" s="19"/>
      <c r="D11" s="19"/>
      <c r="E11" s="5"/>
      <c r="F11" s="1"/>
      <c r="G11" s="1"/>
    </row>
    <row r="12" spans="1:10" x14ac:dyDescent="0.2">
      <c r="A12" s="1"/>
      <c r="B12" s="1"/>
      <c r="C12" s="1"/>
      <c r="D12" s="1"/>
      <c r="E12" s="1"/>
      <c r="F12" s="1"/>
      <c r="G12" s="1"/>
    </row>
    <row r="13" spans="1:10" ht="16" x14ac:dyDescent="0.2">
      <c r="A13" s="1"/>
      <c r="B13" s="1"/>
      <c r="C13" s="1"/>
      <c r="D13" s="16" t="s">
        <v>4</v>
      </c>
      <c r="E13" s="16" t="s">
        <v>21</v>
      </c>
      <c r="F13" s="17" t="s">
        <v>5</v>
      </c>
      <c r="G13" s="1"/>
    </row>
    <row r="14" spans="1:10" x14ac:dyDescent="0.2">
      <c r="A14" s="1"/>
      <c r="B14" s="1"/>
      <c r="C14" s="1"/>
      <c r="D14" s="2"/>
      <c r="E14" s="2"/>
      <c r="F14" s="2"/>
      <c r="G14" s="1"/>
    </row>
    <row r="15" spans="1:10" s="9" customFormat="1" ht="33" customHeight="1" x14ac:dyDescent="0.2">
      <c r="A15" s="8"/>
      <c r="B15" s="8"/>
      <c r="C15" s="8"/>
      <c r="D15" s="10" t="s">
        <v>6</v>
      </c>
      <c r="E15" s="10" t="s">
        <v>20</v>
      </c>
      <c r="F15" s="11">
        <v>1350</v>
      </c>
      <c r="G15" s="8"/>
      <c r="H15"/>
      <c r="I15"/>
      <c r="J15"/>
    </row>
    <row r="16" spans="1:10" ht="6.75" customHeight="1" thickBot="1" x14ac:dyDescent="0.25">
      <c r="A16" s="1"/>
      <c r="B16" s="1"/>
      <c r="C16" s="1"/>
      <c r="D16" s="12"/>
      <c r="E16" s="13"/>
      <c r="F16" s="12"/>
      <c r="G16" s="1"/>
    </row>
    <row r="17" spans="1:8" x14ac:dyDescent="0.2">
      <c r="A17" s="1"/>
      <c r="B17" s="1"/>
      <c r="C17" s="1"/>
      <c r="D17" s="1"/>
      <c r="E17" s="1"/>
      <c r="F17" s="1"/>
      <c r="G17" s="1"/>
    </row>
    <row r="18" spans="1:8" ht="16" x14ac:dyDescent="0.2">
      <c r="A18" s="1"/>
      <c r="B18" s="1"/>
      <c r="C18" s="1"/>
      <c r="D18" s="18" t="s">
        <v>7</v>
      </c>
      <c r="E18" s="1"/>
      <c r="F18" s="20">
        <f>SUM(F15:F15)</f>
        <v>1350</v>
      </c>
      <c r="G18" s="1"/>
    </row>
    <row r="19" spans="1:8" x14ac:dyDescent="0.2">
      <c r="A19" s="1"/>
      <c r="B19" s="1"/>
      <c r="C19" s="1"/>
      <c r="D19" s="33" t="s">
        <v>98</v>
      </c>
      <c r="E19" s="1"/>
      <c r="F19" s="1"/>
      <c r="G19" s="1"/>
    </row>
    <row r="20" spans="1:8" ht="77" customHeight="1" x14ac:dyDescent="0.2">
      <c r="A20" s="1"/>
      <c r="B20" s="1"/>
      <c r="C20" s="1"/>
      <c r="D20" s="1"/>
      <c r="E20" s="1"/>
      <c r="F20" s="1"/>
      <c r="G20" s="1"/>
    </row>
    <row r="21" spans="1:8" ht="19" x14ac:dyDescent="0.25">
      <c r="A21" s="1"/>
      <c r="B21" s="1"/>
      <c r="C21" s="1"/>
      <c r="D21" s="1"/>
      <c r="E21" s="31"/>
      <c r="F21" s="31" t="s">
        <v>49</v>
      </c>
      <c r="G21" s="1"/>
    </row>
    <row r="22" spans="1:8" ht="12" customHeight="1" x14ac:dyDescent="0.2">
      <c r="A22" s="1"/>
      <c r="B22" s="1"/>
      <c r="C22" s="1"/>
      <c r="D22" s="1"/>
      <c r="E22" s="1"/>
      <c r="F22" s="1"/>
      <c r="G22" s="1"/>
    </row>
    <row r="23" spans="1:8" x14ac:dyDescent="0.2">
      <c r="A23" s="1"/>
      <c r="B23" s="15" t="s">
        <v>10</v>
      </c>
      <c r="C23" s="1"/>
      <c r="D23" s="1"/>
      <c r="E23" s="1"/>
      <c r="F23" s="1"/>
      <c r="G23" s="1"/>
    </row>
    <row r="24" spans="1:8" x14ac:dyDescent="0.2">
      <c r="A24" s="1"/>
      <c r="B24" s="15" t="s">
        <v>79</v>
      </c>
      <c r="C24" s="1"/>
      <c r="D24" s="1"/>
      <c r="E24" s="1"/>
      <c r="F24" s="1"/>
      <c r="G24" s="1"/>
    </row>
    <row r="25" spans="1:8" x14ac:dyDescent="0.2">
      <c r="A25" s="1"/>
      <c r="B25" s="15" t="s">
        <v>9</v>
      </c>
      <c r="C25" s="1"/>
      <c r="D25" s="1"/>
      <c r="E25" s="1"/>
      <c r="F25" s="1"/>
      <c r="G25" s="1"/>
    </row>
    <row r="26" spans="1:8" x14ac:dyDescent="0.2">
      <c r="A26" s="1"/>
      <c r="C26" s="1"/>
      <c r="D26" s="1"/>
      <c r="E26" s="1"/>
      <c r="F26" s="1"/>
      <c r="G26" s="1"/>
    </row>
    <row r="27" spans="1:8" ht="16" thickBot="1" x14ac:dyDescent="0.25">
      <c r="A27" s="1"/>
      <c r="B27" s="12"/>
      <c r="C27" s="12"/>
      <c r="D27" s="12"/>
      <c r="E27" s="12"/>
      <c r="F27" s="12"/>
      <c r="G27" s="1"/>
    </row>
    <row r="28" spans="1:8" x14ac:dyDescent="0.2">
      <c r="A28" s="1"/>
      <c r="B28" s="28" t="s">
        <v>48</v>
      </c>
      <c r="C28" s="1"/>
      <c r="D28" s="14" t="s">
        <v>25</v>
      </c>
      <c r="E28" s="1"/>
      <c r="F28" s="163" t="s">
        <v>13</v>
      </c>
      <c r="H28" s="27"/>
    </row>
    <row r="29" spans="1:8" x14ac:dyDescent="0.2">
      <c r="A29" s="1"/>
      <c r="B29" s="22"/>
      <c r="C29" s="24"/>
      <c r="D29" s="23"/>
      <c r="E29" s="22"/>
      <c r="F29" s="21"/>
      <c r="G29" s="1"/>
    </row>
    <row r="30" spans="1:8" x14ac:dyDescent="0.2">
      <c r="A30" s="1"/>
      <c r="B30" s="1"/>
      <c r="C30" s="1"/>
      <c r="D30" s="1"/>
      <c r="E30" s="15"/>
      <c r="F30" s="1"/>
      <c r="G30" s="1"/>
    </row>
    <row r="31" spans="1:8" x14ac:dyDescent="0.2">
      <c r="A31" s="1"/>
      <c r="B31" s="1"/>
      <c r="C31" s="1"/>
      <c r="D31" s="1"/>
      <c r="E31" s="1"/>
      <c r="F31" s="1"/>
      <c r="G31" s="1"/>
    </row>
  </sheetData>
  <pageMargins left="0.7" right="0.7" top="0.75" bottom="0.75" header="0.3" footer="0.3"/>
  <pageSetup paperSize="11" scale="63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0B148-499F-AD44-9ABF-903B6F2242F8}">
  <sheetPr>
    <pageSetUpPr fitToPage="1"/>
  </sheetPr>
  <dimension ref="A1:J30"/>
  <sheetViews>
    <sheetView view="pageBreakPreview" topLeftCell="A2" zoomScale="118" zoomScaleNormal="100" zoomScaleSheetLayoutView="113" workbookViewId="0">
      <selection activeCell="D7" sqref="D7"/>
    </sheetView>
  </sheetViews>
  <sheetFormatPr baseColWidth="10" defaultColWidth="8.83203125" defaultRowHeight="15" x14ac:dyDescent="0.2"/>
  <cols>
    <col min="1" max="1" width="3.83203125" customWidth="1"/>
    <col min="2" max="2" width="20.1640625" customWidth="1"/>
    <col min="3" max="3" width="1.6640625" bestFit="1" customWidth="1"/>
    <col min="4" max="4" width="20.83203125" customWidth="1"/>
    <col min="5" max="5" width="24.1640625" customWidth="1"/>
    <col min="6" max="6" width="14.6640625" customWidth="1"/>
    <col min="7" max="7" width="7.33203125" customWidth="1"/>
  </cols>
  <sheetData>
    <row r="1" spans="1:10" ht="69.75" customHeight="1" x14ac:dyDescent="0.2">
      <c r="A1" s="1"/>
      <c r="B1" s="1"/>
      <c r="C1" s="1"/>
      <c r="D1" s="1"/>
      <c r="E1" s="1"/>
      <c r="F1" s="1"/>
      <c r="G1" s="1"/>
    </row>
    <row r="2" spans="1:10" x14ac:dyDescent="0.2">
      <c r="A2" s="1"/>
      <c r="B2" s="1"/>
      <c r="C2" s="1"/>
      <c r="D2" s="1"/>
      <c r="E2" s="1"/>
      <c r="F2" s="1"/>
      <c r="G2" s="1"/>
    </row>
    <row r="3" spans="1:10" ht="63" customHeight="1" x14ac:dyDescent="0.2">
      <c r="A3" s="1"/>
      <c r="B3" s="179" t="s">
        <v>103</v>
      </c>
      <c r="C3" s="3"/>
      <c r="D3" s="3"/>
      <c r="E3" s="26"/>
      <c r="F3" s="25">
        <v>45427</v>
      </c>
    </row>
    <row r="4" spans="1:10" x14ac:dyDescent="0.2">
      <c r="A4" s="1"/>
      <c r="B4" s="173" t="s">
        <v>24</v>
      </c>
      <c r="C4" s="4"/>
      <c r="D4" s="4"/>
      <c r="E4" s="1"/>
      <c r="F4" s="1"/>
      <c r="G4" s="1"/>
    </row>
    <row r="5" spans="1:10" x14ac:dyDescent="0.2">
      <c r="A5" s="1"/>
      <c r="B5" s="173"/>
      <c r="C5" s="1"/>
      <c r="D5" s="1"/>
      <c r="E5" s="1"/>
      <c r="F5" s="1"/>
      <c r="G5" s="1"/>
    </row>
    <row r="6" spans="1:10" x14ac:dyDescent="0.2">
      <c r="A6" s="1"/>
      <c r="B6" s="19" t="s">
        <v>2</v>
      </c>
      <c r="C6" s="6" t="s">
        <v>3</v>
      </c>
      <c r="D6" s="264" t="str">
        <f>'INVOICE A5'!D6</f>
        <v>Elite Global Logistics Ltd.</v>
      </c>
      <c r="E6" s="264"/>
      <c r="F6" s="264"/>
      <c r="G6" s="1"/>
    </row>
    <row r="7" spans="1:10" x14ac:dyDescent="0.2">
      <c r="A7" s="1"/>
      <c r="B7" s="19" t="s">
        <v>23</v>
      </c>
      <c r="C7" s="6" t="s">
        <v>3</v>
      </c>
      <c r="D7" s="7" t="str">
        <f>'INVOICE A5'!D7</f>
        <v># 002</v>
      </c>
      <c r="E7" s="1"/>
      <c r="F7" s="1"/>
      <c r="G7" s="1"/>
    </row>
    <row r="8" spans="1:10" x14ac:dyDescent="0.2">
      <c r="A8" s="1"/>
      <c r="B8" s="19" t="s">
        <v>80</v>
      </c>
      <c r="C8" s="6" t="s">
        <v>3</v>
      </c>
      <c r="D8" s="30"/>
      <c r="E8" s="1"/>
      <c r="F8" s="1"/>
      <c r="G8" s="1"/>
    </row>
    <row r="9" spans="1:10" x14ac:dyDescent="0.2">
      <c r="A9" s="1"/>
      <c r="B9" s="19" t="s">
        <v>22</v>
      </c>
      <c r="C9" s="6" t="s">
        <v>3</v>
      </c>
      <c r="D9" s="30"/>
      <c r="E9" s="5"/>
      <c r="F9" s="1"/>
      <c r="G9" s="1"/>
    </row>
    <row r="10" spans="1:10" ht="29" customHeight="1" x14ac:dyDescent="0.2">
      <c r="A10" s="1"/>
      <c r="B10" s="1"/>
      <c r="C10" s="1"/>
      <c r="D10" s="1"/>
      <c r="E10" s="1"/>
      <c r="F10" s="1"/>
      <c r="G10" s="1"/>
    </row>
    <row r="11" spans="1:10" ht="16" x14ac:dyDescent="0.2">
      <c r="A11" s="1"/>
      <c r="B11" s="1"/>
      <c r="C11" s="1"/>
      <c r="D11" s="16" t="s">
        <v>4</v>
      </c>
      <c r="E11" s="16" t="s">
        <v>21</v>
      </c>
      <c r="F11" s="17" t="s">
        <v>5</v>
      </c>
      <c r="G11" s="1"/>
    </row>
    <row r="12" spans="1:10" x14ac:dyDescent="0.2">
      <c r="A12" s="1"/>
      <c r="B12" s="1"/>
      <c r="C12" s="1"/>
      <c r="D12" s="2"/>
      <c r="E12" s="2"/>
      <c r="F12" s="2"/>
      <c r="G12" s="1"/>
    </row>
    <row r="13" spans="1:10" s="9" customFormat="1" ht="33" customHeight="1" x14ac:dyDescent="0.2">
      <c r="A13" s="8"/>
      <c r="B13" s="8"/>
      <c r="C13" s="8"/>
      <c r="D13" s="10" t="s">
        <v>6</v>
      </c>
      <c r="E13" s="10" t="s">
        <v>19</v>
      </c>
      <c r="F13" s="11">
        <v>2500</v>
      </c>
      <c r="G13" s="8"/>
      <c r="H13"/>
      <c r="I13"/>
      <c r="J13"/>
    </row>
    <row r="14" spans="1:10" ht="33" customHeight="1" x14ac:dyDescent="0.2">
      <c r="A14" s="1"/>
      <c r="B14" s="1"/>
      <c r="C14" s="1"/>
      <c r="D14" s="10" t="s">
        <v>6</v>
      </c>
      <c r="E14" s="10" t="s">
        <v>18</v>
      </c>
      <c r="F14" s="11">
        <v>2500</v>
      </c>
      <c r="G14" s="1"/>
    </row>
    <row r="15" spans="1:10" ht="6.75" customHeight="1" thickBot="1" x14ac:dyDescent="0.25">
      <c r="A15" s="1"/>
      <c r="B15" s="1"/>
      <c r="C15" s="1"/>
      <c r="D15" s="12"/>
      <c r="E15" s="13"/>
      <c r="F15" s="12"/>
      <c r="G15" s="1"/>
    </row>
    <row r="16" spans="1:10" x14ac:dyDescent="0.2">
      <c r="A16" s="1"/>
      <c r="B16" s="1"/>
      <c r="C16" s="1"/>
      <c r="D16" s="1"/>
      <c r="E16" s="1"/>
      <c r="F16" s="1"/>
      <c r="G16" s="1"/>
    </row>
    <row r="17" spans="1:7" ht="16" x14ac:dyDescent="0.2">
      <c r="A17" s="1"/>
      <c r="B17" s="1"/>
      <c r="C17" s="1"/>
      <c r="D17" s="18" t="s">
        <v>7</v>
      </c>
      <c r="E17" s="1"/>
      <c r="F17" s="20">
        <f>SUM(F13:F14)</f>
        <v>5000</v>
      </c>
      <c r="G17" s="1"/>
    </row>
    <row r="18" spans="1:7" ht="52" customHeight="1" x14ac:dyDescent="0.2">
      <c r="A18" s="1"/>
      <c r="B18" s="1"/>
      <c r="C18" s="1"/>
      <c r="D18" s="1"/>
      <c r="E18" s="1"/>
      <c r="F18" s="1"/>
      <c r="G18" s="1"/>
    </row>
    <row r="19" spans="1:7" ht="14" customHeight="1" x14ac:dyDescent="0.25">
      <c r="A19" s="1"/>
      <c r="B19" s="1"/>
      <c r="C19" s="1"/>
      <c r="D19" s="1"/>
      <c r="E19" s="1"/>
      <c r="F19" s="31" t="s">
        <v>49</v>
      </c>
      <c r="G19" s="1"/>
    </row>
    <row r="20" spans="1:7" ht="57" customHeight="1" x14ac:dyDescent="0.2">
      <c r="A20" s="1"/>
      <c r="B20" s="1"/>
      <c r="C20" s="1"/>
      <c r="D20" s="1"/>
      <c r="E20" s="1"/>
      <c r="F20" s="1"/>
      <c r="G20" s="1"/>
    </row>
    <row r="21" spans="1:7" x14ac:dyDescent="0.2">
      <c r="A21" s="1"/>
      <c r="B21" s="1"/>
      <c r="C21" s="1"/>
      <c r="D21" s="1"/>
      <c r="E21" s="1"/>
      <c r="F21" s="1"/>
      <c r="G21" s="1"/>
    </row>
    <row r="22" spans="1:7" x14ac:dyDescent="0.2">
      <c r="A22" s="1"/>
      <c r="B22" s="15" t="s">
        <v>10</v>
      </c>
      <c r="C22" s="1"/>
      <c r="D22" s="1"/>
      <c r="E22" s="1"/>
      <c r="F22" s="1"/>
      <c r="G22" s="1"/>
    </row>
    <row r="23" spans="1:7" x14ac:dyDescent="0.2">
      <c r="A23" s="1"/>
      <c r="B23" s="15" t="s">
        <v>8</v>
      </c>
      <c r="C23" s="1"/>
      <c r="D23" s="1"/>
      <c r="E23" s="1"/>
      <c r="F23" s="1"/>
      <c r="G23" s="1"/>
    </row>
    <row r="24" spans="1:7" x14ac:dyDescent="0.2">
      <c r="A24" s="1"/>
      <c r="B24" s="15" t="s">
        <v>9</v>
      </c>
      <c r="C24" s="1"/>
      <c r="D24" s="1"/>
      <c r="E24" s="1"/>
      <c r="F24" s="1"/>
      <c r="G24" s="1"/>
    </row>
    <row r="25" spans="1:7" ht="16" thickBot="1" x14ac:dyDescent="0.25">
      <c r="A25" s="1"/>
      <c r="B25" s="12"/>
      <c r="C25" s="12"/>
      <c r="D25" s="12"/>
      <c r="E25" s="12"/>
      <c r="F25" s="12"/>
      <c r="G25" s="1"/>
    </row>
    <row r="26" spans="1:7" x14ac:dyDescent="0.2">
      <c r="A26" s="1"/>
      <c r="B26" s="1"/>
      <c r="C26" s="1"/>
      <c r="D26" s="1"/>
      <c r="E26" s="1"/>
      <c r="F26" s="1"/>
      <c r="G26" s="1"/>
    </row>
    <row r="27" spans="1:7" x14ac:dyDescent="0.2">
      <c r="A27" s="1"/>
      <c r="B27" s="1"/>
      <c r="C27" s="1"/>
      <c r="D27" s="1"/>
      <c r="E27" s="22" t="s">
        <v>17</v>
      </c>
      <c r="F27" s="1"/>
      <c r="G27" s="1"/>
    </row>
    <row r="28" spans="1:7" x14ac:dyDescent="0.2">
      <c r="A28" s="1"/>
      <c r="B28" s="22" t="s">
        <v>11</v>
      </c>
      <c r="C28" s="24"/>
      <c r="D28" s="23" t="s">
        <v>12</v>
      </c>
      <c r="E28" s="22" t="s">
        <v>16</v>
      </c>
      <c r="F28" s="21" t="s">
        <v>13</v>
      </c>
      <c r="G28" s="1"/>
    </row>
    <row r="29" spans="1:7" x14ac:dyDescent="0.2">
      <c r="A29" s="1"/>
      <c r="B29" s="1"/>
      <c r="C29" s="1"/>
      <c r="D29" s="1"/>
      <c r="E29" s="15"/>
      <c r="F29" s="1"/>
      <c r="G29" s="1"/>
    </row>
    <row r="30" spans="1:7" x14ac:dyDescent="0.2">
      <c r="A30" s="1"/>
      <c r="B30" s="1"/>
      <c r="C30" s="1"/>
      <c r="D30" s="1"/>
      <c r="E30" s="1"/>
      <c r="F30" s="1"/>
      <c r="G30" s="1"/>
    </row>
  </sheetData>
  <mergeCells count="1">
    <mergeCell ref="D6:F6"/>
  </mergeCells>
  <hyperlinks>
    <hyperlink ref="D28" r:id="rId1" xr:uid="{2B9777B8-B07D-A34D-BFEB-4BEA0CE9CDB4}"/>
  </hyperlinks>
  <pageMargins left="0.7" right="0.7" top="0.75" bottom="0.75" header="0.3" footer="0.3"/>
  <pageSetup paperSize="11" scale="5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TCN A4</vt:lpstr>
      <vt:lpstr>DN A4</vt:lpstr>
      <vt:lpstr>MIS A4</vt:lpstr>
      <vt:lpstr>INVOICE A5</vt:lpstr>
      <vt:lpstr>Claim A5 </vt:lpstr>
      <vt:lpstr>'DN A4'!Print_Area</vt:lpstr>
      <vt:lpstr>'INVOICE A5'!Print_Area</vt:lpstr>
      <vt:lpstr>'MIS A4'!Print_Area</vt:lpstr>
      <vt:lpstr>'TCN A4'!Print_Area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Roba Khaled, HAC</dc:creator>
  <cp:lastModifiedBy>يوسف عبدالحميد فرج عبدالحميد</cp:lastModifiedBy>
  <cp:lastPrinted>2024-07-11T08:36:39Z</cp:lastPrinted>
  <dcterms:created xsi:type="dcterms:W3CDTF">2015-06-05T18:17:20Z</dcterms:created>
  <dcterms:modified xsi:type="dcterms:W3CDTF">2024-08-08T23:34:09Z</dcterms:modified>
</cp:coreProperties>
</file>